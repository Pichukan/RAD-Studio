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79523\Desktop\РАЗРАБОТКА\ПРИМЕР\АВТОШ квартира\"/>
    </mc:Choice>
  </mc:AlternateContent>
  <bookViews>
    <workbookView xWindow="-1035" yWindow="5385" windowWidth="15480" windowHeight="5460" tabRatio="854" firstSheet="1" activeTab="2"/>
  </bookViews>
  <sheets>
    <sheet name="Ввод" sheetId="19" r:id="rId1"/>
    <sheet name="Таблицы расч" sheetId="16" r:id="rId2"/>
    <sheet name="Регресс. анализ" sheetId="17" r:id="rId3"/>
    <sheet name="слияние" sheetId="18" r:id="rId4"/>
    <sheet name="рубли в пропись" sheetId="21" r:id="rId5"/>
    <sheet name="числа в пропись" sheetId="22" r:id="rId6"/>
    <sheet name="диаграмма лин" sheetId="23" r:id="rId7"/>
    <sheet name="таблица факторов" sheetId="24" r:id="rId8"/>
    <sheet name="СТАТИСТ" sheetId="26" r:id="rId9"/>
    <sheet name="Задание на оценку" sheetId="30" r:id="rId10"/>
    <sheet name="Акт осмотра" sheetId="29" r:id="rId11"/>
    <sheet name="рисунки" sheetId="31" r:id="rId12"/>
  </sheets>
  <definedNames>
    <definedName name="n_1" localSheetId="10">{"","одинz","дваz","триz","четыреz","пятьz","шестьz","семьz","восемьz","девятьz"}</definedName>
    <definedName name="n_1" localSheetId="9">{"","одинz","дваz","триz","четыреz","пятьz","шестьz","семьz","восемьz","девятьz"}</definedName>
    <definedName name="n_1" localSheetId="5">{"","одинz","дваz","триz","четыреz","пятьz","шестьz","семьz","восемьz","девятьz"}</definedName>
    <definedName name="n_1">{"","одинz","дваz","триz","четыреz","пятьz","шестьz","семьz","восемьz","девятьz"}</definedName>
    <definedName name="n_2" localSheetId="10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 localSheetId="9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 localSheetId="5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 localSheetId="10">{"";1;"двадцатьz";"тридцатьz";"сорокz";"пятьдесятz";"шестьдесятz";"семьдесятz";"восемьдесятz";"девяностоz"}</definedName>
    <definedName name="n_3" localSheetId="9">{"";1;"двадцатьz";"тридцатьz";"сорокz";"пятьдесятz";"шестьдесятz";"семьдесятz";"восемьдесятz";"девяностоz"}</definedName>
    <definedName name="n_3" localSheetId="5">{"";1;"двадцатьz";"тридцатьz";"сорокz";"пятьдесятz";"шестьдесятz";"семьдесятz";"восемьдесятz";"девяностоz"}</definedName>
    <definedName name="n_3">{"";1;"двадцатьz";"тридцатьz";"сорокz";"пятьдесятz";"шестьдесятz";"семьдесятz";"восемьдесятz";"девяностоz"}</definedName>
    <definedName name="n_4" localSheetId="10">{"","стоz","двестиz","тристаz","четырестаz","пятьсотz","шестьсотz","семьсотz","восемьсотz","девятьсотz"}</definedName>
    <definedName name="n_4" localSheetId="9">{"","стоz","двестиz","тристаz","четырестаz","пятьсотz","шестьсотz","семьсотz","восемьсотz","девятьсотz"}</definedName>
    <definedName name="n_4" localSheetId="5">{"","стоz","двестиz","тристаz","четырестаz","пятьсотz","шестьсотz","семьсотz","восемьсотz","девятьсотz"}</definedName>
    <definedName name="n_4">{"","стоz","двестиz","тристаz","четырестаz","пятьсотz","шестьсотz","семьсотz","восемьсотz","девятьсотz"}</definedName>
    <definedName name="n_5" localSheetId="10">{"","однаz","двеz","триz","четыреz","пятьz","шестьz","семьz","восемьz","девятьz"}</definedName>
    <definedName name="n_5" localSheetId="9">{"","однаz","двеz","триz","четыреz","пятьz","шестьz","семьz","восемьz","девятьz"}</definedName>
    <definedName name="n_5" localSheetId="5">{"","однаz","двеz","триz","четыреz","пятьz","шестьz","семьz","восемьz","девятьz"}</definedName>
    <definedName name="n_5">{"","однаz","двеz","триz","четыреz","пятьz","шестьz","семьz","восемьz","девятьz"}</definedName>
    <definedName name="n0" localSheetId="5">"000000000000"&amp;MID(1/2,2,1)&amp;"0#####"</definedName>
    <definedName name="n0">"000000000000"&amp;MID(1/2,2,1)&amp;"00"</definedName>
    <definedName name="n0x" localSheetId="10">IF('Акт осмотра'!n_3=1,'Акт осмотра'!n_2,'Акт осмотра'!n_3&amp;'Акт осмотра'!n_1)</definedName>
    <definedName name="n0x" localSheetId="9">IF('Задание на оценку'!n_3=1,'Задание на оценку'!n_2,'Задание на оценку'!n_3&amp;'Задание на оценку'!n_1)</definedName>
    <definedName name="n0x" localSheetId="5">IF(n_3=1,n_2,n_3&amp;n_1)</definedName>
    <definedName name="n0x">IF(n_3=1,n_2,n_3&amp;n_1)</definedName>
    <definedName name="n1x" localSheetId="10">IF('Акт осмотра'!n_3=1,'Акт осмотра'!n_2,'Акт осмотра'!n_3&amp;'Акт осмотра'!n_5)</definedName>
    <definedName name="n1x" localSheetId="9">IF('Задание на оценку'!n_3=1,'Задание на оценку'!n_2,'Задание на оценку'!n_3&amp;'Задание на оценку'!n_5)</definedName>
    <definedName name="n1x" localSheetId="5">IF(n_3=1,n_2,n_3&amp;n_5)</definedName>
    <definedName name="n1x">IF(n_3=1,n_2,n_3&amp;n_5)</definedName>
    <definedName name="solver_adj" localSheetId="1" hidden="1">'Таблицы расч'!$H$82:$H$91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'Таблицы расч'!$H$82</definedName>
    <definedName name="solver_lhs10" localSheetId="1" hidden="1">'Таблицы расч'!$H$86</definedName>
    <definedName name="solver_lhs11" localSheetId="1" hidden="1">'Таблицы расч'!$H$87</definedName>
    <definedName name="solver_lhs12" localSheetId="1" hidden="1">'Таблицы расч'!$H$90</definedName>
    <definedName name="solver_lhs13" localSheetId="1" hidden="1">'Таблицы расч'!$H$90</definedName>
    <definedName name="solver_lhs14" localSheetId="1" hidden="1">'Таблицы расч'!$H$87</definedName>
    <definedName name="solver_lhs15" localSheetId="1" hidden="1">'Таблицы расч'!$H$92</definedName>
    <definedName name="solver_lhs16" localSheetId="1" hidden="1">'Таблицы расч'!$H$91</definedName>
    <definedName name="solver_lhs17" localSheetId="1" hidden="1">'Таблицы расч'!$H$91</definedName>
    <definedName name="solver_lhs18" localSheetId="1" hidden="1">'Таблицы расч'!$H$91</definedName>
    <definedName name="solver_lhs19" localSheetId="1" hidden="1">'Таблицы расч'!$H$90</definedName>
    <definedName name="solver_lhs2" localSheetId="1" hidden="1">'Таблицы расч'!$H$82</definedName>
    <definedName name="solver_lhs20" localSheetId="1" hidden="1">'Таблицы расч'!$H$90</definedName>
    <definedName name="solver_lhs21" localSheetId="1" hidden="1">'Таблицы расч'!$H$89</definedName>
    <definedName name="solver_lhs22" localSheetId="1" hidden="1">'Таблицы расч'!$H$88</definedName>
    <definedName name="solver_lhs23" localSheetId="1" hidden="1">'Таблицы расч'!$H$87</definedName>
    <definedName name="solver_lhs24" localSheetId="1" hidden="1">'Таблицы расч'!$H$88</definedName>
    <definedName name="solver_lhs25" localSheetId="1" hidden="1">'Таблицы расч'!$H$89</definedName>
    <definedName name="solver_lhs3" localSheetId="1" hidden="1">'Таблицы расч'!$H$83</definedName>
    <definedName name="solver_lhs4" localSheetId="1" hidden="1">'Таблицы расч'!$H$83</definedName>
    <definedName name="solver_lhs5" localSheetId="1" hidden="1">'Таблицы расч'!$H$84</definedName>
    <definedName name="solver_lhs6" localSheetId="1" hidden="1">'Таблицы расч'!$H$84</definedName>
    <definedName name="solver_lhs7" localSheetId="1" hidden="1">'Таблицы расч'!$H$85</definedName>
    <definedName name="solver_lhs8" localSheetId="1" hidden="1">'Таблицы расч'!$H$85</definedName>
    <definedName name="solver_lhs9" localSheetId="1" hidden="1">'Таблицы расч'!$H$86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18</definedName>
    <definedName name="solver_nwt" localSheetId="1" hidden="1">1</definedName>
    <definedName name="solver_opt" localSheetId="1" hidden="1">'Таблицы расч'!$J$93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3</definedName>
    <definedName name="solver_rel11" localSheetId="1" hidden="1">1</definedName>
    <definedName name="solver_rel12" localSheetId="1" hidden="1">1</definedName>
    <definedName name="solver_rel13" localSheetId="1" hidden="1">3</definedName>
    <definedName name="solver_rel14" localSheetId="1" hidden="1">3</definedName>
    <definedName name="solver_rel15" localSheetId="1" hidden="1">2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2</definedName>
    <definedName name="solver_rel22" localSheetId="1" hidden="1">2</definedName>
    <definedName name="solver_rel23" localSheetId="1" hidden="1">2</definedName>
    <definedName name="solver_rel24" localSheetId="1" hidden="1">2</definedName>
    <definedName name="solver_rel25" localSheetId="1" hidden="1">2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1</definedName>
    <definedName name="solver_rhs1" localSheetId="1" hidden="1">0.35</definedName>
    <definedName name="solver_rhs10" localSheetId="1" hidden="1">0.05</definedName>
    <definedName name="solver_rhs11" localSheetId="1" hidden="1">0.35</definedName>
    <definedName name="solver_rhs12" localSheetId="1" hidden="1">0.3</definedName>
    <definedName name="solver_rhs13" localSheetId="1" hidden="1">0.05</definedName>
    <definedName name="solver_rhs14" localSheetId="1" hidden="1">0.05</definedName>
    <definedName name="solver_rhs15" localSheetId="1" hidden="1">1</definedName>
    <definedName name="solver_rhs16" localSheetId="1" hidden="1">0.05</definedName>
    <definedName name="solver_rhs17" localSheetId="1" hidden="1">0.35</definedName>
    <definedName name="solver_rhs18" localSheetId="1" hidden="1">0.05</definedName>
    <definedName name="solver_rhs19" localSheetId="1" hidden="1">0.05</definedName>
    <definedName name="solver_rhs2" localSheetId="1" hidden="1">0.05</definedName>
    <definedName name="solver_rhs20" localSheetId="1" hidden="1">0.3</definedName>
    <definedName name="solver_rhs21" localSheetId="1" hidden="1">0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0</definedName>
    <definedName name="solver_rhs3" localSheetId="1" hidden="1">0.35</definedName>
    <definedName name="solver_rhs4" localSheetId="1" hidden="1">0.05</definedName>
    <definedName name="solver_rhs5" localSheetId="1" hidden="1">0.35</definedName>
    <definedName name="solver_rhs6" localSheetId="1" hidden="1">0.05</definedName>
    <definedName name="solver_rhs7" localSheetId="1" hidden="1">0.35</definedName>
    <definedName name="solver_rhs8" localSheetId="1" hidden="1">0.05</definedName>
    <definedName name="solver_rhs9" localSheetId="1" hidden="1">0.35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  <definedName name="x" localSheetId="10">{"","стоz","двестиz","тристаz","четырестаz","пятьсотz","шестьсотz","семьсотz","восемьсотz","девятьсотz"}</definedName>
    <definedName name="x" localSheetId="9">{"","стоz","двестиz","тристаz","четырестаz","пятьсотz","шестьсотz","семьсотz","восемьсотz","девятьсотz"}</definedName>
    <definedName name="x">{"","стоz","двестиz","тристаz","четырестаz","пятьсотz","шестьсотz","семьсотz","восемьсотz","девятьсотz"}</definedName>
    <definedName name="доля" localSheetId="10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доля" localSheetId="9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доля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мил" localSheetId="10">{0,"овz";1,"z";2,"аz";5,"овz"}</definedName>
    <definedName name="мил" localSheetId="9">{0,"овz";1,"z";2,"аz";5,"овz"}</definedName>
    <definedName name="мил" localSheetId="5">{0,"овz";1,"z";2,"аz";5,"овz"}</definedName>
    <definedName name="мил">{0,"овz";1,"z";2,"аz";5,"овz"}</definedName>
    <definedName name="_xlnm.Print_Area" localSheetId="2">'Регресс. анализ'!$A$1:$M$60</definedName>
    <definedName name="_xlnm.Print_Area" localSheetId="1">'Таблицы расч'!$A$1:$H$93</definedName>
    <definedName name="тыс" localSheetId="10">{0,"тысячz";1,"тысячаz";2,"тысячиz";5,"тысячz"}</definedName>
    <definedName name="тыс" localSheetId="9">{0,"тысячz";1,"тысячаz";2,"тысячиz";5,"тысячz"}</definedName>
    <definedName name="тыс" localSheetId="5">{0,"тысячz";1,"тысячаz";2,"тысячиz";5,"тысячz"}</definedName>
    <definedName name="тыс">{0,"тысячz";1,"тысячаz";2,"тысячиz";5,"тысячz"}</definedName>
  </definedNames>
  <calcPr calcId="152511"/>
</workbook>
</file>

<file path=xl/calcChain.xml><?xml version="1.0" encoding="utf-8"?>
<calcChain xmlns="http://schemas.openxmlformats.org/spreadsheetml/2006/main">
  <c r="K13" i="17" l="1"/>
  <c r="CZ2" i="18" l="1"/>
  <c r="CY2" i="18"/>
  <c r="CX2" i="18"/>
  <c r="CW2" i="18"/>
  <c r="CV2" i="18"/>
  <c r="CU2" i="18"/>
  <c r="K20" i="30"/>
  <c r="D9" i="19"/>
  <c r="C10" i="19"/>
  <c r="C9" i="19"/>
  <c r="D10" i="19" l="1"/>
  <c r="H31" i="30" l="1"/>
  <c r="B31" i="30"/>
  <c r="D21" i="30"/>
  <c r="E20" i="30"/>
  <c r="D17" i="30"/>
  <c r="D15" i="30"/>
  <c r="D6" i="30"/>
  <c r="A4" i="30"/>
  <c r="H2" i="30"/>
  <c r="H1" i="30"/>
  <c r="F82" i="29"/>
  <c r="S63" i="29"/>
  <c r="S62" i="29"/>
  <c r="S61" i="29"/>
  <c r="O63" i="29"/>
  <c r="O61" i="29"/>
  <c r="AC19" i="29"/>
  <c r="AD16" i="29"/>
  <c r="J19" i="29"/>
  <c r="J16" i="29"/>
  <c r="J12" i="29"/>
  <c r="J201" i="29"/>
  <c r="Z169" i="29"/>
  <c r="O167" i="29"/>
  <c r="Z165" i="29"/>
  <c r="O163" i="29"/>
  <c r="O161" i="29"/>
  <c r="O151" i="29"/>
  <c r="AG130" i="29"/>
  <c r="O129" i="29"/>
  <c r="AG95" i="29"/>
  <c r="M88" i="29"/>
  <c r="Q86" i="29"/>
  <c r="L84" i="29"/>
  <c r="Z80" i="29"/>
  <c r="Z78" i="29"/>
  <c r="J80" i="29"/>
  <c r="J78" i="29"/>
  <c r="K68" i="29"/>
  <c r="O62" i="29"/>
  <c r="Z61" i="29"/>
  <c r="J48" i="29"/>
  <c r="A43" i="29"/>
  <c r="H35" i="29"/>
  <c r="AG31" i="29"/>
  <c r="M29" i="29"/>
  <c r="I22" i="29"/>
  <c r="T19" i="29"/>
  <c r="T16" i="29"/>
  <c r="AD12" i="29"/>
  <c r="T12" i="29"/>
  <c r="F5" i="29"/>
  <c r="V3" i="29"/>
  <c r="C3" i="29"/>
  <c r="R2" i="29"/>
  <c r="A110" i="29"/>
  <c r="Y105" i="29"/>
  <c r="Y104" i="29"/>
  <c r="T104" i="29"/>
  <c r="T103" i="29"/>
  <c r="H103" i="29"/>
  <c r="H102" i="29"/>
  <c r="Y101" i="29"/>
  <c r="Y100" i="29"/>
  <c r="T100" i="29"/>
  <c r="T99" i="29"/>
  <c r="H99" i="29"/>
  <c r="H98" i="29"/>
  <c r="Y97" i="29"/>
  <c r="Y96" i="29"/>
  <c r="T96" i="29"/>
  <c r="T105" i="29"/>
  <c r="Y95" i="29"/>
  <c r="T95" i="29"/>
  <c r="D20" i="30" l="1"/>
  <c r="L20" i="30" s="1"/>
  <c r="H97" i="29"/>
  <c r="T98" i="29"/>
  <c r="Y99" i="29"/>
  <c r="H101" i="29"/>
  <c r="T102" i="29"/>
  <c r="Y103" i="29"/>
  <c r="H105" i="29"/>
  <c r="A118" i="29"/>
  <c r="H95" i="29"/>
  <c r="H96" i="29"/>
  <c r="T97" i="29"/>
  <c r="Y98" i="29"/>
  <c r="H100" i="29"/>
  <c r="T101" i="29"/>
  <c r="Y102" i="29"/>
  <c r="H104" i="29"/>
  <c r="F13" i="26"/>
  <c r="D3" i="17" l="1"/>
  <c r="CR2" i="18" l="1"/>
  <c r="G16" i="26" l="1"/>
  <c r="I16" i="26"/>
  <c r="H16" i="26"/>
  <c r="B19" i="26" l="1"/>
  <c r="F16" i="26"/>
  <c r="CS2" i="18"/>
  <c r="CQ2" i="18"/>
  <c r="G15" i="26"/>
  <c r="G17" i="26"/>
  <c r="F17" i="26"/>
  <c r="F15" i="26"/>
  <c r="B20" i="26"/>
  <c r="B18" i="26"/>
  <c r="CP2" i="18" l="1"/>
  <c r="CN2" i="18"/>
  <c r="CM2" i="18"/>
  <c r="CL2" i="18"/>
  <c r="CK2" i="18"/>
  <c r="CJ2" i="18"/>
  <c r="CI2" i="18"/>
  <c r="CH2" i="18"/>
  <c r="CG2" i="18"/>
  <c r="G14" i="26"/>
  <c r="G13" i="26"/>
  <c r="CO2" i="18" s="1"/>
  <c r="G10" i="26"/>
  <c r="G7" i="26"/>
  <c r="G6" i="26"/>
  <c r="G8" i="26"/>
  <c r="G9" i="26"/>
  <c r="G11" i="26"/>
  <c r="G12" i="26"/>
  <c r="G5" i="26"/>
  <c r="G4" i="26"/>
  <c r="K10" i="26"/>
  <c r="K9" i="26"/>
  <c r="K8" i="26"/>
  <c r="K7" i="26"/>
  <c r="K6" i="26"/>
  <c r="K5" i="26"/>
  <c r="K4" i="26"/>
  <c r="F14" i="26"/>
  <c r="D12" i="26"/>
  <c r="D13" i="26"/>
  <c r="D14" i="26"/>
  <c r="D15" i="26"/>
  <c r="D11" i="26"/>
  <c r="C13" i="26"/>
  <c r="C14" i="26"/>
  <c r="C15" i="26"/>
  <c r="C12" i="26"/>
  <c r="C11" i="26"/>
  <c r="B15" i="26"/>
  <c r="B14" i="26"/>
  <c r="B13" i="26"/>
  <c r="B12" i="26"/>
  <c r="B11" i="26"/>
  <c r="D5" i="26"/>
  <c r="D6" i="26"/>
  <c r="D7" i="26"/>
  <c r="D8" i="26"/>
  <c r="D4" i="26"/>
  <c r="F11" i="26"/>
  <c r="F12" i="26"/>
  <c r="F9" i="26"/>
  <c r="F5" i="26"/>
  <c r="F4" i="26"/>
  <c r="A4" i="26"/>
  <c r="B4" i="26"/>
  <c r="C4" i="26"/>
  <c r="A5" i="26"/>
  <c r="B5" i="26"/>
  <c r="C5" i="26"/>
  <c r="A6" i="26"/>
  <c r="B6" i="26"/>
  <c r="C6" i="26"/>
  <c r="A7" i="26"/>
  <c r="B7" i="26"/>
  <c r="C7" i="26"/>
  <c r="A8" i="26"/>
  <c r="B8" i="26"/>
  <c r="C8" i="26"/>
  <c r="F8" i="26" l="1"/>
  <c r="H92" i="16"/>
  <c r="A87" i="16"/>
  <c r="H77" i="16"/>
  <c r="G91" i="16" s="1"/>
  <c r="G76" i="16"/>
  <c r="F76" i="16"/>
  <c r="E76" i="16"/>
  <c r="D76" i="16"/>
  <c r="C76" i="16"/>
  <c r="B76" i="16"/>
  <c r="A76" i="16"/>
  <c r="A91" i="16" s="1"/>
  <c r="H75" i="16"/>
  <c r="G90" i="16" s="1"/>
  <c r="G74" i="16"/>
  <c r="F74" i="16"/>
  <c r="E74" i="16"/>
  <c r="D74" i="16"/>
  <c r="C74" i="16"/>
  <c r="B74" i="16"/>
  <c r="A74" i="16"/>
  <c r="A90" i="16" s="1"/>
  <c r="H73" i="16"/>
  <c r="G89" i="16" s="1"/>
  <c r="G72" i="16"/>
  <c r="F72" i="16"/>
  <c r="E72" i="16"/>
  <c r="D72" i="16"/>
  <c r="C72" i="16"/>
  <c r="B72" i="16"/>
  <c r="A72" i="16"/>
  <c r="A89" i="16" s="1"/>
  <c r="H71" i="16"/>
  <c r="G88" i="16" s="1"/>
  <c r="G70" i="16"/>
  <c r="F70" i="16"/>
  <c r="E70" i="16"/>
  <c r="D70" i="16"/>
  <c r="C70" i="16"/>
  <c r="B70" i="16"/>
  <c r="A70" i="16"/>
  <c r="A88" i="16" s="1"/>
  <c r="H69" i="16"/>
  <c r="G87" i="16" s="1"/>
  <c r="G68" i="16"/>
  <c r="F68" i="16"/>
  <c r="E68" i="16"/>
  <c r="D68" i="16"/>
  <c r="C68" i="16"/>
  <c r="B68" i="16"/>
  <c r="H67" i="16"/>
  <c r="G86" i="16" s="1"/>
  <c r="G66" i="16"/>
  <c r="F66" i="16"/>
  <c r="E66" i="16"/>
  <c r="D66" i="16"/>
  <c r="C66" i="16"/>
  <c r="B66" i="16"/>
  <c r="A66" i="16"/>
  <c r="A86" i="16" s="1"/>
  <c r="H65" i="16"/>
  <c r="G85" i="16" s="1"/>
  <c r="G64" i="16"/>
  <c r="F64" i="16"/>
  <c r="E64" i="16"/>
  <c r="D64" i="16"/>
  <c r="C64" i="16"/>
  <c r="B64" i="16"/>
  <c r="A64" i="16"/>
  <c r="A85" i="16" s="1"/>
  <c r="H63" i="16"/>
  <c r="G84" i="16" s="1"/>
  <c r="A62" i="16"/>
  <c r="A84" i="16" s="1"/>
  <c r="H61" i="16"/>
  <c r="G83" i="16" s="1"/>
  <c r="G60" i="16"/>
  <c r="F60" i="16"/>
  <c r="E60" i="16"/>
  <c r="D60" i="16"/>
  <c r="C60" i="16"/>
  <c r="B60" i="16"/>
  <c r="A60" i="16"/>
  <c r="A83" i="16" s="1"/>
  <c r="H59" i="16"/>
  <c r="G82" i="16" s="1"/>
  <c r="G58" i="16"/>
  <c r="F58" i="16"/>
  <c r="E58" i="16"/>
  <c r="D58" i="16"/>
  <c r="C58" i="16"/>
  <c r="B58" i="16"/>
  <c r="A58" i="16"/>
  <c r="A82" i="16" s="1"/>
  <c r="H57" i="16"/>
  <c r="G56" i="16"/>
  <c r="F56" i="16"/>
  <c r="E56" i="16"/>
  <c r="D56" i="16"/>
  <c r="C56" i="16"/>
  <c r="B56" i="16"/>
  <c r="A56" i="16"/>
  <c r="G53" i="16"/>
  <c r="F53" i="16"/>
  <c r="E53" i="16"/>
  <c r="D53" i="16"/>
  <c r="C53" i="16"/>
  <c r="B53" i="16"/>
  <c r="A53" i="16"/>
  <c r="A51" i="16"/>
  <c r="G50" i="16"/>
  <c r="F50" i="16"/>
  <c r="E50" i="16"/>
  <c r="D50" i="16"/>
  <c r="C50" i="16"/>
  <c r="B50" i="16"/>
  <c r="A50" i="16"/>
  <c r="B43" i="16"/>
  <c r="A43" i="16"/>
  <c r="G40" i="16"/>
  <c r="F40" i="16"/>
  <c r="E40" i="16"/>
  <c r="D40" i="16"/>
  <c r="C40" i="16"/>
  <c r="B40" i="16"/>
  <c r="A40" i="16"/>
  <c r="A39" i="16"/>
  <c r="A36" i="16"/>
  <c r="A42" i="16" s="1"/>
  <c r="A35" i="16"/>
  <c r="G34" i="16"/>
  <c r="F34" i="16"/>
  <c r="E34" i="16"/>
  <c r="D34" i="16"/>
  <c r="C34" i="16"/>
  <c r="B34" i="16"/>
  <c r="A34" i="16"/>
  <c r="B33" i="16"/>
  <c r="B39" i="16" s="1"/>
  <c r="G31" i="16"/>
  <c r="F31" i="16"/>
  <c r="E31" i="16"/>
  <c r="D31" i="16"/>
  <c r="C31" i="16"/>
  <c r="B31" i="16"/>
  <c r="A31" i="16"/>
  <c r="A30" i="16"/>
  <c r="G28" i="16"/>
  <c r="G48" i="16" s="1"/>
  <c r="G81" i="16" s="1"/>
  <c r="F28" i="16"/>
  <c r="F48" i="16" s="1"/>
  <c r="F81" i="16" s="1"/>
  <c r="E28" i="16"/>
  <c r="E48" i="16" s="1"/>
  <c r="E81" i="16" s="1"/>
  <c r="D28" i="16"/>
  <c r="D48" i="16" s="1"/>
  <c r="D81" i="16" s="1"/>
  <c r="C28" i="16"/>
  <c r="C48" i="16" s="1"/>
  <c r="C81" i="16" s="1"/>
  <c r="B28" i="16"/>
  <c r="B48" i="16" s="1"/>
  <c r="G18" i="16"/>
  <c r="G62" i="16" s="1"/>
  <c r="F18" i="16"/>
  <c r="F62" i="16" s="1"/>
  <c r="E18" i="16"/>
  <c r="E62" i="16" s="1"/>
  <c r="D18" i="16"/>
  <c r="D62" i="16" s="1"/>
  <c r="C18" i="16"/>
  <c r="C62" i="16" s="1"/>
  <c r="B18" i="16"/>
  <c r="B62" i="16" s="1"/>
  <c r="C12" i="16"/>
  <c r="C43" i="16" s="1"/>
  <c r="G6" i="16"/>
  <c r="G30" i="16" s="1"/>
  <c r="G33" i="16" s="1"/>
  <c r="G36" i="16" s="1"/>
  <c r="G39" i="16" s="1"/>
  <c r="G42" i="16" s="1"/>
  <c r="G45" i="16" s="1"/>
  <c r="G52" i="16" s="1"/>
  <c r="G55" i="16" s="1"/>
  <c r="G93" i="16" s="1"/>
  <c r="F6" i="16"/>
  <c r="F30" i="16" s="1"/>
  <c r="F33" i="16" s="1"/>
  <c r="F36" i="16" s="1"/>
  <c r="F39" i="16" s="1"/>
  <c r="F42" i="16" s="1"/>
  <c r="F45" i="16" s="1"/>
  <c r="F52" i="16" s="1"/>
  <c r="F55" i="16" s="1"/>
  <c r="F93" i="16" s="1"/>
  <c r="E6" i="16"/>
  <c r="E30" i="16" s="1"/>
  <c r="E33" i="16" s="1"/>
  <c r="E36" i="16" s="1"/>
  <c r="E39" i="16" s="1"/>
  <c r="E42" i="16" s="1"/>
  <c r="E45" i="16" s="1"/>
  <c r="E52" i="16" s="1"/>
  <c r="E55" i="16" s="1"/>
  <c r="E93" i="16" s="1"/>
  <c r="D6" i="16"/>
  <c r="D30" i="16" s="1"/>
  <c r="D33" i="16" s="1"/>
  <c r="D36" i="16" s="1"/>
  <c r="D39" i="16" s="1"/>
  <c r="D42" i="16" s="1"/>
  <c r="D45" i="16" s="1"/>
  <c r="D52" i="16" s="1"/>
  <c r="D55" i="16" s="1"/>
  <c r="D93" i="16" s="1"/>
  <c r="C6" i="16"/>
  <c r="C30" i="16" s="1"/>
  <c r="C33" i="16" s="1"/>
  <c r="C36" i="16" s="1"/>
  <c r="C39" i="16" s="1"/>
  <c r="C42" i="16" s="1"/>
  <c r="C45" i="16" s="1"/>
  <c r="C52" i="16" s="1"/>
  <c r="C55" i="16" s="1"/>
  <c r="C93" i="16" s="1"/>
  <c r="G92" i="16" l="1"/>
  <c r="A93" i="16"/>
  <c r="A45" i="16"/>
  <c r="A52" i="16" s="1"/>
  <c r="A55" i="16" s="1"/>
  <c r="D12" i="16"/>
  <c r="B36" i="16"/>
  <c r="B42" i="16" s="1"/>
  <c r="B82" i="16"/>
  <c r="C82" i="16"/>
  <c r="D82" i="16"/>
  <c r="E82" i="16"/>
  <c r="F82" i="16"/>
  <c r="B83" i="16"/>
  <c r="C83" i="16"/>
  <c r="D83" i="16"/>
  <c r="E83" i="16"/>
  <c r="F83" i="16"/>
  <c r="B84" i="16"/>
  <c r="C84" i="16"/>
  <c r="D84" i="16"/>
  <c r="E84" i="16"/>
  <c r="F84" i="16"/>
  <c r="B85" i="16"/>
  <c r="C85" i="16"/>
  <c r="D85" i="16"/>
  <c r="E85" i="16"/>
  <c r="F85" i="16"/>
  <c r="B86" i="16"/>
  <c r="C86" i="16"/>
  <c r="D86" i="16"/>
  <c r="E86" i="16"/>
  <c r="F86" i="16"/>
  <c r="B87" i="16"/>
  <c r="C87" i="16"/>
  <c r="D87" i="16"/>
  <c r="E87" i="16"/>
  <c r="F87" i="16"/>
  <c r="B88" i="16"/>
  <c r="C88" i="16"/>
  <c r="D88" i="16"/>
  <c r="E88" i="16"/>
  <c r="F88" i="16"/>
  <c r="B89" i="16"/>
  <c r="C89" i="16"/>
  <c r="D89" i="16"/>
  <c r="E89" i="16"/>
  <c r="F89" i="16"/>
  <c r="B90" i="16"/>
  <c r="C90" i="16"/>
  <c r="D90" i="16"/>
  <c r="E90" i="16"/>
  <c r="F90" i="16"/>
  <c r="B91" i="16"/>
  <c r="C91" i="16"/>
  <c r="D91" i="16"/>
  <c r="E91" i="16"/>
  <c r="F91" i="16"/>
  <c r="D43" i="16" l="1"/>
  <c r="E12" i="16"/>
  <c r="F92" i="16"/>
  <c r="E92" i="16"/>
  <c r="D92" i="16"/>
  <c r="C92" i="16"/>
  <c r="B92" i="16"/>
  <c r="J93" i="16" l="1"/>
  <c r="E43" i="16"/>
  <c r="F12" i="16"/>
  <c r="F43" i="16" l="1"/>
  <c r="G12" i="16"/>
  <c r="G43" i="16" s="1"/>
  <c r="BV2" i="18" l="1"/>
  <c r="BV1" i="18"/>
  <c r="N16" i="17"/>
  <c r="BQ2" i="18" s="1"/>
  <c r="BR2" i="18" s="1"/>
  <c r="M17" i="17"/>
  <c r="K25" i="17"/>
  <c r="N25" i="17" s="1"/>
  <c r="BU2" i="18" s="1"/>
  <c r="K24" i="17"/>
  <c r="N24" i="17" s="1"/>
  <c r="BT2" i="18" s="1"/>
  <c r="K23" i="17"/>
  <c r="N23" i="17" s="1"/>
  <c r="BS2" i="18" s="1"/>
  <c r="B56" i="22" l="1"/>
  <c r="BL2" i="18"/>
  <c r="BK2" i="18"/>
  <c r="BL1" i="18"/>
  <c r="BK1" i="18"/>
  <c r="BJ2" i="18"/>
  <c r="BI2" i="18"/>
  <c r="BH2" i="18"/>
  <c r="BJ1" i="18"/>
  <c r="BI1" i="18"/>
  <c r="BH1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BM2" i="18" s="1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BM1" i="18" s="1"/>
  <c r="AB2" i="18"/>
  <c r="AT2" i="18" l="1"/>
  <c r="AS2" i="18"/>
  <c r="AQ2" i="18"/>
  <c r="B59" i="22" s="1"/>
  <c r="C59" i="22" s="1"/>
  <c r="AR2" i="18" s="1"/>
  <c r="AP2" i="18"/>
  <c r="AO2" i="18"/>
  <c r="AN2" i="18"/>
  <c r="AM2" i="18"/>
  <c r="AL2" i="18"/>
  <c r="AJ2" i="18"/>
  <c r="AK2" i="18" s="1"/>
  <c r="AI2" i="18"/>
  <c r="AG2" i="18"/>
  <c r="AH2" i="18" s="1"/>
  <c r="AF2" i="18"/>
  <c r="C10" i="24"/>
  <c r="C11" i="24"/>
  <c r="C12" i="24"/>
  <c r="C13" i="24"/>
  <c r="C14" i="24"/>
  <c r="C15" i="24"/>
  <c r="C16" i="24"/>
  <c r="C17" i="24"/>
  <c r="C18" i="24"/>
  <c r="C19" i="24"/>
  <c r="C9" i="24"/>
  <c r="B9" i="24"/>
  <c r="AC2" i="18"/>
  <c r="B7" i="19"/>
  <c r="F2" i="18" s="1"/>
  <c r="C56" i="22"/>
  <c r="BN2" i="18" s="1"/>
  <c r="B34" i="22"/>
  <c r="B32" i="22"/>
  <c r="A29" i="22"/>
  <c r="B29" i="22" s="1"/>
  <c r="A28" i="22"/>
  <c r="B28" i="22" s="1"/>
  <c r="A27" i="22"/>
  <c r="B27" i="22" s="1"/>
  <c r="A26" i="22"/>
  <c r="B26" i="22" s="1"/>
  <c r="A25" i="22"/>
  <c r="B25" i="22" s="1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3" i="22"/>
  <c r="AA2" i="18"/>
  <c r="Z2" i="18"/>
  <c r="Y2" i="18"/>
  <c r="W2" i="18"/>
  <c r="B57" i="22" s="1"/>
  <c r="C57" i="22" s="1"/>
  <c r="X2" i="18" s="1"/>
  <c r="V2" i="18"/>
  <c r="U2" i="18"/>
  <c r="T2" i="18"/>
  <c r="S2" i="18"/>
  <c r="Q2" i="18"/>
  <c r="B58" i="22" s="1"/>
  <c r="C58" i="22" s="1"/>
  <c r="R2" i="18" s="1"/>
  <c r="M1" i="18"/>
  <c r="B34" i="21"/>
  <c r="B32" i="21"/>
  <c r="A29" i="21"/>
  <c r="B29" i="21" s="1"/>
  <c r="A28" i="21"/>
  <c r="B28" i="21" s="1"/>
  <c r="A27" i="21"/>
  <c r="B27" i="21" s="1"/>
  <c r="A26" i="21"/>
  <c r="B26" i="21" s="1"/>
  <c r="A25" i="21"/>
  <c r="B25" i="21" s="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3" i="21"/>
  <c r="L2" i="18"/>
  <c r="K2" i="18"/>
  <c r="J2" i="18"/>
  <c r="I2" i="18"/>
  <c r="H2" i="18"/>
  <c r="G2" i="18"/>
  <c r="E2" i="18"/>
  <c r="D2" i="18"/>
  <c r="C2" i="18"/>
  <c r="B2" i="18"/>
  <c r="L1" i="18"/>
  <c r="K1" i="18"/>
  <c r="J1" i="18"/>
  <c r="I1" i="18"/>
  <c r="H1" i="18"/>
  <c r="G1" i="18"/>
  <c r="E1" i="18"/>
  <c r="D1" i="18"/>
  <c r="C1" i="18"/>
  <c r="B1" i="18"/>
  <c r="A4" i="17"/>
  <c r="A5" i="17" s="1"/>
  <c r="A6" i="17" s="1"/>
  <c r="A7" i="17" s="1"/>
  <c r="C7" i="17"/>
  <c r="E7" i="17" s="1"/>
  <c r="CF2" i="18" s="1"/>
  <c r="C3" i="17"/>
  <c r="E3" i="17" s="1"/>
  <c r="CB2" i="18" s="1"/>
  <c r="C4" i="17"/>
  <c r="E4" i="17" s="1"/>
  <c r="CC2" i="18" s="1"/>
  <c r="C5" i="17"/>
  <c r="E5" i="17" s="1"/>
  <c r="CD2" i="18" s="1"/>
  <c r="C6" i="17"/>
  <c r="E6" i="17" s="1"/>
  <c r="CE2" i="18" s="1"/>
  <c r="B16" i="24"/>
  <c r="B12" i="24"/>
  <c r="B18" i="24"/>
  <c r="B17" i="24"/>
  <c r="B14" i="24"/>
  <c r="B19" i="24"/>
  <c r="B10" i="24"/>
  <c r="B11" i="24"/>
  <c r="B13" i="24"/>
  <c r="B15" i="24"/>
  <c r="K3" i="17" l="1"/>
  <c r="B7" i="17"/>
  <c r="D7" i="17" s="1"/>
  <c r="CA2" i="18" s="1"/>
  <c r="C2" i="17"/>
  <c r="B6" i="17" l="1"/>
  <c r="D6" i="17" s="1"/>
  <c r="BZ2" i="18" s="1"/>
  <c r="B5" i="17"/>
  <c r="D5" i="17" s="1"/>
  <c r="BY2" i="18" s="1"/>
  <c r="B4" i="17"/>
  <c r="D4" i="17" s="1"/>
  <c r="BX2" i="18" s="1"/>
  <c r="B3" i="17"/>
  <c r="BW2" i="18" s="1"/>
  <c r="K5" i="17" l="1"/>
  <c r="K7" i="17" l="1"/>
  <c r="K9" i="17" s="1"/>
  <c r="K15" i="17" s="1"/>
  <c r="M15" i="17" s="1"/>
  <c r="M5" i="17"/>
  <c r="BO2" i="18" l="1"/>
  <c r="BP2" i="18" s="1"/>
  <c r="M7" i="17"/>
  <c r="M13" i="17" l="1"/>
  <c r="O2" i="18" s="1"/>
  <c r="P2" i="18" s="1"/>
  <c r="M9" i="17"/>
  <c r="M2" i="18" s="1"/>
  <c r="N2" i="18" s="1"/>
  <c r="K11" i="17"/>
  <c r="M11" i="17" s="1"/>
  <c r="AD2" i="18" s="1"/>
  <c r="AE2" i="18" s="1"/>
  <c r="N5" i="17"/>
</calcChain>
</file>

<file path=xl/comments1.xml><?xml version="1.0" encoding="utf-8"?>
<comments xmlns="http://schemas.openxmlformats.org/spreadsheetml/2006/main">
  <authors>
    <author>Айвар Пичукан</author>
    <author>ян</author>
    <author>GRAND3</author>
  </authors>
  <commentList>
    <comment ref="D3" authorId="0" shapeId="0">
      <text>
        <r>
          <rPr>
            <b/>
            <sz val="9"/>
            <color indexed="81"/>
            <rFont val="Tahoma"/>
            <family val="2"/>
            <charset val="204"/>
          </rPr>
          <t>Монстр йолопуки: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Желтые ячейки заполни руками,…сам млин-н-н. И не парься болше… На этой странице.</t>
        </r>
      </text>
    </comment>
    <comment ref="B11" authorId="1" shapeId="0">
      <text>
        <r>
          <rPr>
            <b/>
            <sz val="8"/>
            <color indexed="81"/>
            <rFont val="Tahoma"/>
            <family val="2"/>
            <charset val="204"/>
          </rPr>
          <t>Монстр йолопуки: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b/>
            <sz val="8"/>
            <color indexed="81"/>
            <rFont val="Tahoma"/>
            <family val="2"/>
            <charset val="204"/>
          </rPr>
          <t>данные паспорта и место регистрации пишем</t>
        </r>
      </text>
    </comment>
    <comment ref="C11" authorId="2" shapeId="0">
      <text>
        <r>
          <rPr>
            <b/>
            <sz val="9"/>
            <color indexed="81"/>
            <rFont val="Tahoma"/>
            <family val="2"/>
            <charset val="204"/>
          </rPr>
          <t>Стоимость по договору (цена работ)</t>
        </r>
      </text>
    </comment>
  </commentList>
</comments>
</file>

<file path=xl/comments2.xml><?xml version="1.0" encoding="utf-8"?>
<comments xmlns="http://schemas.openxmlformats.org/spreadsheetml/2006/main">
  <authors>
    <author>Айвар Пичукан</author>
  </authors>
  <commentList>
    <comment ref="H1" authorId="0" shapeId="0">
      <text>
        <r>
          <rPr>
            <b/>
            <sz val="12"/>
            <color indexed="81"/>
            <rFont val="Tahoma"/>
            <family val="2"/>
            <charset val="204"/>
          </rPr>
          <t>Монстр йолопуки:
Первую таблицу заполни сам руками, посмотри результаты и усё… забивай на все...</t>
        </r>
      </text>
    </comment>
  </commentList>
</comments>
</file>

<file path=xl/comments3.xml><?xml version="1.0" encoding="utf-8"?>
<comments xmlns="http://schemas.openxmlformats.org/spreadsheetml/2006/main">
  <authors>
    <author>ян</author>
  </authors>
  <commentList>
    <comment ref="K17" authorId="0" shapeId="0">
      <text>
        <r>
          <rPr>
            <b/>
            <sz val="10"/>
            <color indexed="81"/>
            <rFont val="Tahoma"/>
            <family val="2"/>
            <charset val="204"/>
          </rPr>
          <t>монстр йолопупуки:</t>
        </r>
        <r>
          <rPr>
            <sz val="10"/>
            <color indexed="81"/>
            <rFont val="Tahoma"/>
            <family val="2"/>
            <charset val="204"/>
          </rPr>
          <t xml:space="preserve">
Стоимость перепланировки руками забей в одну эту ячейку</t>
        </r>
      </text>
    </comment>
  </commentList>
</comments>
</file>

<file path=xl/sharedStrings.xml><?xml version="1.0" encoding="utf-8"?>
<sst xmlns="http://schemas.openxmlformats.org/spreadsheetml/2006/main" count="589" uniqueCount="433">
  <si>
    <t>Факторы сравнения</t>
  </si>
  <si>
    <t>-</t>
  </si>
  <si>
    <t>Первая группа элементов сравнения</t>
  </si>
  <si>
    <t>Права на объект</t>
  </si>
  <si>
    <t>Вторая группа элементов сравнения</t>
  </si>
  <si>
    <t>Корректировка,%</t>
  </si>
  <si>
    <t>Сумма кодов</t>
  </si>
  <si>
    <t>Условия финансирования</t>
  </si>
  <si>
    <t>Адрес</t>
  </si>
  <si>
    <t>аналог.</t>
  </si>
  <si>
    <t>код</t>
  </si>
  <si>
    <t>Условия сделки</t>
  </si>
  <si>
    <t>Дата сделки</t>
  </si>
  <si>
    <t>Объект сравнения №3</t>
  </si>
  <si>
    <t>Объект сравнения №4</t>
  </si>
  <si>
    <t>Объект сравнения №5</t>
  </si>
  <si>
    <t>Влияние фактора</t>
  </si>
  <si>
    <t>Номер объекта сравнения</t>
  </si>
  <si>
    <t>Сумма  кодов</t>
  </si>
  <si>
    <t>Сумма кодов объекта оценки</t>
  </si>
  <si>
    <t>Объект оценки</t>
  </si>
  <si>
    <t>Объект сравнения №2</t>
  </si>
  <si>
    <t>Жилье</t>
  </si>
  <si>
    <t>собственность</t>
  </si>
  <si>
    <t>Состояние</t>
  </si>
  <si>
    <t>Санузел</t>
  </si>
  <si>
    <t>с комиссион.</t>
  </si>
  <si>
    <t>Общая площадь (м.кв.)</t>
  </si>
  <si>
    <t>Тип дома</t>
  </si>
  <si>
    <t>Поправка на торг</t>
  </si>
  <si>
    <t>торг</t>
  </si>
  <si>
    <t>Этаж/Этажность</t>
  </si>
  <si>
    <t>Вид из окон</t>
  </si>
  <si>
    <t>двор</t>
  </si>
  <si>
    <t>Вход</t>
  </si>
  <si>
    <t>со двора</t>
  </si>
  <si>
    <t>с улицы</t>
  </si>
  <si>
    <t>Кухня</t>
  </si>
  <si>
    <t xml:space="preserve">Стоимость руб., с учетом комиссионных </t>
  </si>
  <si>
    <t xml:space="preserve">Стоимость руб./кв. м, с учетом комиссионных </t>
  </si>
  <si>
    <t>НЭИ по оценке</t>
  </si>
  <si>
    <t xml:space="preserve">Скоррект. стоимость, руб./кв. м </t>
  </si>
  <si>
    <t>Расчетное значение стоимости Объекта оценки, руб.</t>
  </si>
  <si>
    <t>Расчетное значение стоимости, руб./кв.м</t>
  </si>
  <si>
    <r>
      <t>Макс знач</t>
    </r>
    <r>
      <rPr>
        <b/>
        <i/>
        <sz val="9"/>
        <rFont val="Times New Roman"/>
        <family val="1"/>
      </rPr>
      <t>.</t>
    </r>
  </si>
  <si>
    <t>Объект   сравнения №1</t>
  </si>
  <si>
    <t>Количество комнат</t>
  </si>
  <si>
    <t>Наличие улучшений</t>
  </si>
  <si>
    <t>Планировка</t>
  </si>
  <si>
    <t>двухсторонняя</t>
  </si>
  <si>
    <t>одностронняя</t>
  </si>
  <si>
    <t xml:space="preserve">со двора </t>
  </si>
  <si>
    <t>Местоположение, транспортная доступность</t>
  </si>
  <si>
    <t>парадный</t>
  </si>
  <si>
    <t>Рыночное значение стоимости, руб./кв.м</t>
  </si>
  <si>
    <t>Рыночная стоимость Объекта оценки, руб., округленно</t>
  </si>
  <si>
    <t>нормальное</t>
  </si>
  <si>
    <t xml:space="preserve">Источник информации </t>
  </si>
  <si>
    <t>Ликвидационная стоимость  объекта оценки, руб.</t>
  </si>
  <si>
    <t>Дата договора</t>
  </si>
  <si>
    <t>№ Договора</t>
  </si>
  <si>
    <t>Дата осмотра</t>
  </si>
  <si>
    <t>Адрес объекта оценки</t>
  </si>
  <si>
    <t>Цель оценки</t>
  </si>
  <si>
    <t>Для чего используется</t>
  </si>
  <si>
    <t>Имя, отчество Заказчика</t>
  </si>
  <si>
    <t>Дата выпуска отчета</t>
  </si>
  <si>
    <t>СУММА ПРОПИСЬЮ</t>
  </si>
  <si>
    <t>Константы:</t>
  </si>
  <si>
    <t>Случайные числа:</t>
  </si>
  <si>
    <t>Формула РУС: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</si>
  <si>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n0x;ПСТР(ТЕКСТ(A1;n0);11;1)+1;ПСТР(ТЕКСТ(A1;n0);12;1)+1));"z";" ")&amp;ЕСЛИ(ОТБР(ТЕКСТ(A1;n0));"";"Ноль ")&amp;"рубл"&amp;ВПР(ОСТАТ(МАКС(ОСТАТ(ПСТР(ТЕКСТ(A1;n0);11;2)-11;100);9);10);{0;"ь ":1;"я ":4;"ей "};2)&amp;ПРАВСИМВ(ТЕКСТ(A1;n0);2)&amp;" копе"&amp;ВПР(ОСТАТ(МАКС(ОСТАТ(ПРАВСИМВ(ТЕКСТ(A1;n0);2)-11;100);9);10);{0;"йка":1;"йки":4;"ек"};2)</t>
  </si>
  <si>
    <t>Длина:</t>
  </si>
  <si>
    <t>Формула ENG: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</si>
  <si>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n0x,MID(TEXT(A1,n0),11,1)+1,MID(TEXT(A1,n0),12,1)+1)),"z"," ")&amp;IF(TRUNC(TEXT(A1,n0)),"","Ноль ")&amp;"рубл"&amp;VLOOKUP(MOD(MAX(MOD(MID(TEXT(A1,n0),11,2)-11,100),9),10),{0,"ь ";1,"я ";4,"ей "},2)&amp;RIGHT(TEXT(A1,n0),2)&amp;" копе"&amp;VLOOKUP(MOD(MAX(MOD(RIGHT(TEXT(A1,n0),2)-11,100),9),10),{0,"йка";1,"йки";4,"ек"},2)</t>
  </si>
  <si>
    <t>Имена:</t>
  </si>
  <si>
    <t>n_1</t>
  </si>
  <si>
    <t>={"";"одинz";"дваz";"триz";"четыреz";"пятьz";"шестьz";"семьz";"восемьz";"девятьz"}</t>
  </si>
  <si>
    <t>n_2</t>
  </si>
  <si>
    <t>={"десятьz";"одиннадцатьz";"двенадцатьz";"тринадцатьz";"четырнадцатьz";"пятнадцатьz";"шестнадцатьz";"семнадцатьz";"восемнадцатьz";"девятнадцатьz"}</t>
  </si>
  <si>
    <t>n_3</t>
  </si>
  <si>
    <t>={"":1:"двадцатьz":"тридцатьz":"сорокz":"пятьдесятz":"шестьдесятz":"семьдесятz":"восемьдесятz":"девяностоz"}</t>
  </si>
  <si>
    <t>n_4</t>
  </si>
  <si>
    <t>={"";"стоz";"двестиz";"тристаz";"четырестаz";"пятьсотz";"шестьсотz";"семьсотz";"восемьсотz";"девятьсотz"}</t>
  </si>
  <si>
    <t>n_5</t>
  </si>
  <si>
    <t>={"";"однаz";"двеz";"триz";"четыреz";"пятьz";"шестьz";"семьz";"восемьz";"девятьz"}</t>
  </si>
  <si>
    <t>n0</t>
  </si>
  <si>
    <t>="000000000000"&amp;ПСТР(1/2;2;1)&amp;"00"</t>
  </si>
  <si>
    <t>n0x</t>
  </si>
  <si>
    <t>=ЕСЛИ(n_3=1;n_2;n_3&amp;n_1)</t>
  </si>
  <si>
    <t>n1x</t>
  </si>
  <si>
    <t>=ЕСЛИ(n_3=1;n_2;n_3&amp;n_5)</t>
  </si>
  <si>
    <t>мил</t>
  </si>
  <si>
    <t>={0;"овz":1;"z":2;"аz":5;"овz"}</t>
  </si>
  <si>
    <t>тыс</t>
  </si>
  <si>
    <t>={0;"тысячz":1;"тысячаz":2;"тысячиz":5;"тысячz"}</t>
  </si>
  <si>
    <t>Рыночная стоимость Объекта оценки, руб., пропись</t>
  </si>
  <si>
    <t>Ликвидационная стоимость  объекта оценки, руб.  Пропись</t>
  </si>
  <si>
    <t>Общая площадь ОО</t>
  </si>
  <si>
    <t>Состояние ОО</t>
  </si>
  <si>
    <t>Местополож., трансп дост ОО</t>
  </si>
  <si>
    <t>Санузел ОО</t>
  </si>
  <si>
    <t>Кол-во комнат ОО</t>
  </si>
  <si>
    <t>S кухни ОО</t>
  </si>
  <si>
    <t>Этаж/Этажность дома ОО</t>
  </si>
  <si>
    <t>Улучшения ОО</t>
  </si>
  <si>
    <t>Тип дома ОО</t>
  </si>
  <si>
    <t>Поправка  на торг</t>
  </si>
  <si>
    <t>ЧИСЛО ПРОПИСЬЮ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</si>
  <si>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ЕСЛИ(-ПСТР(ТЕКСТ(A1;n0);14;6);n1x;n0x);ПСТР(ТЕКСТ(A1;n0);11;1)+1;ПСТР(ТЕКСТ(A1;n0);12;1)+1));"z";" ")&amp;ЕСЛИ(ОТБР(ТЕКСТ(A1;n0));;"Ноль ")&amp;ЕСЛИ(-ПСТР(ТЕКСТ(A1;n0);14;6);ЕСЛИ(ОСТАТ(МАКС(ОСТАТ(ПСТР(ТЕКСТ(A1;n0);11;2)-11;100);9);10);"целых ";"целая ")&amp;ПОДСТАВИТЬ(ИНДЕКС(n_4;ПСТР(ТЕКСТ(A1;n0);14;6)/10^5+1)&amp;ИНДЕКС(n1x;ОСТАТ(ПСТР(ТЕКСТ(A1;n0);14;6)/10^4;10)+1;ОСТАТ(ПСТР(ТЕКСТ(A1;n0);14;6)/1000;10)+1)&amp;ЕСЛИ(ЦЕЛОЕ(ПСТР(ТЕКСТ(A1;n0);14;6)/1000);ВПР(ОСТАТ(ПСТР(ТЕКСТ(A1;n0);14;6)/1000;10)*(ОСТАТ(ЦЕЛОЕ(ПСТР(ТЕКСТ(A1;n0);14;6)/10^4);10)&lt;&gt;1);тыс;2);"")&amp;ИНДЕКС(n_4;ОСТАТ(ПСТР(ТЕКСТ(A1;n0);14;6)/100;10)+1)&amp;ИНДЕКС(n1x;ОСТАТ(ПСТР(ТЕКСТ(A1;n0);14;6)/10;10)+1;ОСТАТ(ПСТР(ТЕКСТ(A1;n0);14;6);10)+1);"z";" ")&amp;ИНДЕКС(доля;ДЛСТР(ПСТР(ТЕКСТ(A1;n0);14;6));(ОСТАТ(МАКС(ОСТАТ(ПСТР(ТЕКСТ(A1;n0);14;6)-11;100);9);10)&gt;0)+1);)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</si>
  <si>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IF(-MID(TEXT(A1,n0),14,6),n1x,n0x),MID(TEXT(A1,n0),11,1)+1,MID(TEXT(A1,n0),12,1)+1)),"z"," ")&amp;IF(TRUNC(TEXT(A1,n0)),,"Ноль ")&amp;IF(-MID(TEXT(A1,n0),14,6),IF(MOD(MAX(MOD(MID(TEXT(A1,n0),11,2)-11,100),9),10),"целых ","целая ")&amp;SUBSTITUTE(INDEX(n_4,MID(TEXT(A1,n0),14,6)/10^5+1)&amp;INDEX(n1x,MOD(MID(TEXT(A1,n0),14,6)/10^4,10)+1,MOD(MID(TEXT(A1,n0),14,6)/1000,10)+1)&amp;IF(INT(MID(TEXT(A1,n0),14,6)/1000),VLOOKUP(MOD(MID(TEXT(A1,n0),14,6)/1000,10)*(MOD(INT(MID(TEXT(A1,n0),14,6)/10^4),10)&lt;&gt;1),тыс,2),"")&amp;INDEX(n_4,MOD(MID(TEXT(A1,n0),14,6)/100,10)+1)&amp;INDEX(n1x,MOD(MID(TEXT(A1,n0),14,6)/10,10)+1,MOD(MID(TEXT(A1,n0),14,6),10)+1),"z"," ")&amp;INDEX(доля,LEN(MID(TEXT(A1,n0),14,6)),(MOD(MAX(MOD(MID(TEXT(A1,n0),14,6)-11,100),9),10)&gt;0)+1),)</t>
  </si>
  <si>
    <t>="000000000000"&amp;ПСТР(1/2;2;1)&amp;"0#####"</t>
  </si>
  <si>
    <t>доля</t>
  </si>
  <si>
    <t>={"десятая";"десятых":"сотая";"сотых":"тысячная";"тысячных":"десятитысячная";"десятитысячных":"стотысячная";"стотысячных":"миллионная ";"миллионных"}</t>
  </si>
  <si>
    <t>Общ площадь ОО пропись</t>
  </si>
  <si>
    <t>S кухни ОО пропись</t>
  </si>
  <si>
    <t>Дата оконч действ отчета</t>
  </si>
  <si>
    <t>Дата конца действ отчета</t>
  </si>
  <si>
    <t>Используемые документы</t>
  </si>
  <si>
    <t>Паспортные данные Заказчика (паспорт + место регистрации)</t>
  </si>
  <si>
    <t>Стоим 1  квадр метра</t>
  </si>
  <si>
    <t>Стоим 1  квадр метра пропись</t>
  </si>
  <si>
    <t>Станция метро (ближайшая)</t>
  </si>
  <si>
    <t>Расстояние до станции метро</t>
  </si>
  <si>
    <t>Станция ж/д ближайшая</t>
  </si>
  <si>
    <t>Расстояние до ж/д станции</t>
  </si>
  <si>
    <t>Транспортная доступность (какая)</t>
  </si>
  <si>
    <t>Окна ОО (ориентация)</t>
  </si>
  <si>
    <t>Район местоположения ОО</t>
  </si>
  <si>
    <t>Парковка</t>
  </si>
  <si>
    <t>Год постройки здания</t>
  </si>
  <si>
    <t>Высота потолков ОО</t>
  </si>
  <si>
    <t>Инженерные коммуникации</t>
  </si>
  <si>
    <t>Расстояние до станции метро пропись</t>
  </si>
  <si>
    <t>Расстояние до ж/д станции пропись</t>
  </si>
  <si>
    <t>Высота потолков ОО пропись</t>
  </si>
  <si>
    <t>см. Прим.</t>
  </si>
  <si>
    <t>Жилая площадь, кв. м.</t>
  </si>
  <si>
    <t>Наличие подземных этажей, парковки</t>
  </si>
  <si>
    <t>Материал стен дома</t>
  </si>
  <si>
    <t>Вид (характеристика) перекрытий дома</t>
  </si>
  <si>
    <t>Необходимость ремонтных работ в квартире с обоснованием</t>
  </si>
  <si>
    <t>Выводы об отсутствии/наличиии существенных дефектов здания</t>
  </si>
  <si>
    <t>Состояние подъезда</t>
  </si>
  <si>
    <t>Состояние внешнего вида фасада дома</t>
  </si>
  <si>
    <t>Физический износ дома %</t>
  </si>
  <si>
    <t>Благоустройство двора</t>
  </si>
  <si>
    <t>Выводы о целесообразности проведения капитального ремонта</t>
  </si>
  <si>
    <t>Объекты снижающие/повышающие привлекательность района и двора</t>
  </si>
  <si>
    <t>Планировка соответствие</t>
  </si>
  <si>
    <t>Вид из окна</t>
  </si>
  <si>
    <t>Наличие и количество балконов/лоджий</t>
  </si>
  <si>
    <t>Остекление балконов/лоджий</t>
  </si>
  <si>
    <t>Этажность дома</t>
  </si>
  <si>
    <t>Этаж расположения квартиры</t>
  </si>
  <si>
    <t>Жилая площадь пропись</t>
  </si>
  <si>
    <t>табл. 12.2.2</t>
  </si>
  <si>
    <t>определение рыночной  и ликвидационной стоимости</t>
  </si>
  <si>
    <t>для предоставления отчета в банк с целью принятия управленческого решения.</t>
  </si>
  <si>
    <t>Фамилия, инициалы Заказчика (кому)</t>
  </si>
  <si>
    <t>Сайт 1</t>
  </si>
  <si>
    <t>Сайт 2</t>
  </si>
  <si>
    <t>Сайт 3</t>
  </si>
  <si>
    <t>стоимость перепланировки, руб.</t>
  </si>
  <si>
    <t>С учетом перепланировки стоимость  объекта оценки, руб.</t>
  </si>
  <si>
    <t>Рыночная стоимость с учетом перепланировки , руб., пропись</t>
  </si>
  <si>
    <t>Рыночная стоимость с учетом перепланировки, руб.,</t>
  </si>
  <si>
    <t>Стоимость перепланировки, руб</t>
  </si>
  <si>
    <t>Стоимость перепланировки пропись, руб</t>
  </si>
  <si>
    <t>Собственник объекта оценки</t>
  </si>
  <si>
    <t>лоджия</t>
  </si>
  <si>
    <t>нормальная</t>
  </si>
  <si>
    <t>железобетон</t>
  </si>
  <si>
    <t>соответствует. Изменения согласно представленной документации не выявлены.</t>
  </si>
  <si>
    <t>в настоящее время и в будущем капитальный ремонт здания с отселением жильцов не требуется, его проведение не является целесообразным.</t>
  </si>
  <si>
    <t xml:space="preserve">благоустроенный двор. </t>
  </si>
  <si>
    <t>код1</t>
  </si>
  <si>
    <t>код2</t>
  </si>
  <si>
    <t>код3</t>
  </si>
  <si>
    <t>код4</t>
  </si>
  <si>
    <t>код5</t>
  </si>
  <si>
    <t>стоим1</t>
  </si>
  <si>
    <t>стоим2</t>
  </si>
  <si>
    <t>стоим3</t>
  </si>
  <si>
    <t>стоим4</t>
  </si>
  <si>
    <t>стоим5</t>
  </si>
  <si>
    <t>удовлетворительное</t>
  </si>
  <si>
    <t>раздельный</t>
  </si>
  <si>
    <t>2 лоджии</t>
  </si>
  <si>
    <t>9/9</t>
  </si>
  <si>
    <t>г. Санкт-Петербург,Красногвардейский р-н, Ириновский пр., д. 17, корпус 2, кв. 41</t>
  </si>
  <si>
    <t>2/9</t>
  </si>
  <si>
    <t>панельный многоэтажный</t>
  </si>
  <si>
    <t>г. Санкт-Петербург,Красногвардейский р-н, Ириновский пр., д. 23, корпус 1</t>
  </si>
  <si>
    <t>1/9</t>
  </si>
  <si>
    <t>нет</t>
  </si>
  <si>
    <t>www.emls.ru, АН "Альтегра риэлити", Ким О. А., 987-89-89</t>
  </si>
  <si>
    <t>г. Санкт-Петербург,Красногвардейский р-н, Ириновский пр., д. 33</t>
  </si>
  <si>
    <t>г. Санкт-Петербург,Красногвардейский р-н, Ириновский пр., д. 35</t>
  </si>
  <si>
    <t>www.emls.ru, АН "Александр недвижимость", Доронина Д. А., 325-55-65</t>
  </si>
  <si>
    <t>г. Санкт-Петербург,Красногвардейский р-н, Ириновский пр., д. 11</t>
  </si>
  <si>
    <t>6/9</t>
  </si>
  <si>
    <t>www.emls.ru, АН "Троицкий дом", Филимонова А. А., 325-32-09</t>
  </si>
  <si>
    <t>г. Санкт-Петербург,Красногвардейский р-н, Ударников пр., д. 21, корпус 1</t>
  </si>
  <si>
    <t>www.emls.ru, АН "Центр обмена жилья", Ивашкина И. П., 296-14-33</t>
  </si>
  <si>
    <t>6/12</t>
  </si>
  <si>
    <t>www.emls.ru, АН "Адвекс", Шыхнюк Е. В., 340-04-94</t>
  </si>
  <si>
    <t>коэф-т детерминации</t>
  </si>
  <si>
    <t>кол-во аналогов (n)</t>
  </si>
  <si>
    <t>кол-во факторов (k)</t>
  </si>
  <si>
    <t>коэф-т кореляции</t>
  </si>
  <si>
    <t>Fкр Таблица Фишера-Снедекора</t>
  </si>
  <si>
    <t>Уровень значимости (альфа)</t>
  </si>
  <si>
    <t>F-критерий расчетный</t>
  </si>
  <si>
    <t>Расчётное значение критерия Стьюдента</t>
  </si>
  <si>
    <t>Критическое значение критерия Стьюдента</t>
  </si>
  <si>
    <t>Взвешенные значения цен</t>
  </si>
  <si>
    <t>Коэффициент вариации взвешенной выборки, %</t>
  </si>
  <si>
    <t>тенденция</t>
  </si>
  <si>
    <t>|yi-yмод|</t>
  </si>
  <si>
    <t>|yi-yмод|/yi</t>
  </si>
  <si>
    <t>Средняя ошибка аппроксимации, %</t>
  </si>
  <si>
    <t>для слияния</t>
  </si>
  <si>
    <t>Показатель</t>
  </si>
  <si>
    <t>Значение</t>
  </si>
  <si>
    <t>Вывод</t>
  </si>
  <si>
    <t>Коэффициент детерминации R^2</t>
  </si>
  <si>
    <t>Полученное значение больше минимально допустимого 0,7 свидетельствует о высокой достоверности аппроксимации</t>
  </si>
  <si>
    <t>Расчётное значение F-критерия Фишера</t>
  </si>
  <si>
    <t>Расчетное значение больше критического, следовательно уравнение следует принять значимым</t>
  </si>
  <si>
    <t>Критическое значение F-критерия Фишера</t>
  </si>
  <si>
    <t>Расчетное значение больше критического, следовательно коэффициент следует принять значимым</t>
  </si>
  <si>
    <t>Коэффициент вариации, %</t>
  </si>
  <si>
    <t>Коэффициент вариации меньше 33%, что свидетельствует о хорошем качестве расчетной модели</t>
  </si>
  <si>
    <t>Полученное значение свидетельствует о хорошем качестве расчетной модели</t>
  </si>
  <si>
    <t>к-т в</t>
  </si>
  <si>
    <t>к-т а</t>
  </si>
  <si>
    <t>к-т полезности</t>
  </si>
  <si>
    <t>ЛИНЕЙН к-т в (при х)</t>
  </si>
  <si>
    <t>ЛИНЕЙН к-т а</t>
  </si>
  <si>
    <t>К-т полезности ОО</t>
  </si>
  <si>
    <t>г. Санкт-Петербург, Ланское шоссе, дом 12, корпус 2, кв. 18</t>
  </si>
  <si>
    <t xml:space="preserve">Шичкина Ю.А. </t>
  </si>
  <si>
    <t>Юлия Александровна</t>
  </si>
  <si>
    <t>паспорт 25 03 №184488, выдан отделом милиции №3 УВД гор. Братска Иркутской области 02.07.2002 г., регистрация Иркутская область, гор. Братск, Приморская ул., д. 43, кв. 92</t>
  </si>
  <si>
    <t>технический паспорт на квартиру № 3115/14 от 15.09.2014г., форма 7 от 26.09.2014г., свидетельство о государственной регистрации права серия 78-ВЛ № 714926 от 24.04.2003г., серия 78-АА № 494205 от 27.10.2005г., кадастровый паспорт № 78/201/14-242804 от 16.09.2014г.</t>
  </si>
  <si>
    <t>Черная речка</t>
  </si>
  <si>
    <t>900</t>
  </si>
  <si>
    <t>Новая деревня</t>
  </si>
  <si>
    <t>700</t>
  </si>
  <si>
    <t>на улицу</t>
  </si>
  <si>
    <t>Приморский</t>
  </si>
  <si>
    <t>во дворе</t>
  </si>
  <si>
    <t>1962</t>
  </si>
  <si>
    <t>2,51</t>
  </si>
  <si>
    <t>водопровод, канализация, электричество, центральное отопление, центральное горячее водоснабжение, газоснабжение</t>
  </si>
  <si>
    <t>26,9</t>
  </si>
  <si>
    <t>шлакобетонные, монолитные железобетонные</t>
  </si>
  <si>
    <t>отсутствует необходимость проведения  ремонтных работ в квартире</t>
  </si>
  <si>
    <t>в ходе осмотра выявлены несущественные дефекты конструктивных элементов и инженерного оборудования. Здание пригодно к эксплуатации.</t>
  </si>
  <si>
    <t>15</t>
  </si>
  <si>
    <t>объекты влияющие на привлекательность двора расположения здания и самого здания не выявлено</t>
  </si>
  <si>
    <t>5</t>
  </si>
  <si>
    <t>Агрест Анна Иосифовна доля в праве 1/2, Сожин Марк Григорьевич доля в праве 1/2</t>
  </si>
  <si>
    <t>3/29/09/17</t>
  </si>
  <si>
    <t>Акт осмотра.</t>
  </si>
  <si>
    <t xml:space="preserve">Объект оценки - </t>
  </si>
  <si>
    <t>Дата</t>
  </si>
  <si>
    <t>порядковый № отчета:</t>
  </si>
  <si>
    <t>Адрес объекта:</t>
  </si>
  <si>
    <t>1. Описание объекта оценки</t>
  </si>
  <si>
    <t>1.1 Тип объекта:</t>
  </si>
  <si>
    <t>квартира</t>
  </si>
  <si>
    <t>1.1.1 Разреш использ.</t>
  </si>
  <si>
    <t>жилое</t>
  </si>
  <si>
    <t>1.1.2 Текущее использ.</t>
  </si>
  <si>
    <t>1.2 Кол-во комнат:</t>
  </si>
  <si>
    <t>1.3 Этаж:</t>
  </si>
  <si>
    <t>1.4 Высота потолков м.:</t>
  </si>
  <si>
    <t>1.5 Общая площадь  кв. м.:</t>
  </si>
  <si>
    <t>жилая площадь кв. м.:</t>
  </si>
  <si>
    <t>площадь кухни кв. м.:</t>
  </si>
  <si>
    <t>1.6 Балкон/Лоджия:</t>
  </si>
  <si>
    <t xml:space="preserve">1.6.1 Остекление </t>
  </si>
  <si>
    <t>1.6.2 Количество</t>
  </si>
  <si>
    <t>1.7 Инженерные системы:</t>
  </si>
  <si>
    <t>1.8 Ориентация окон (вид из окна):</t>
  </si>
  <si>
    <t>1.9 Наличие лифтовых механизмов:</t>
  </si>
  <si>
    <t>грузовой</t>
  </si>
  <si>
    <t>пассажирский</t>
  </si>
  <si>
    <t>этажность</t>
  </si>
  <si>
    <t>1.10 Лестничная клетка:</t>
  </si>
  <si>
    <t>Закрытая</t>
  </si>
  <si>
    <t>Не закрытая</t>
  </si>
  <si>
    <t>Благоустроенная</t>
  </si>
  <si>
    <t>1.11 Планировка:</t>
  </si>
  <si>
    <t xml:space="preserve">1.12 Соответствие текущей планировки предоставленным документам и описание различий текущей планировки и планировки согласно предоставленным документам, и возможности/невозможности регистрации в соотв. с требований  действующего законодательства, в случае присутствия планировочных различий. </t>
  </si>
  <si>
    <t>1.14 Состояние подъезда:</t>
  </si>
  <si>
    <t>1.15 Благоустройство подъезда:</t>
  </si>
  <si>
    <t>консьерж</t>
  </si>
  <si>
    <t>видеонаблюдение</t>
  </si>
  <si>
    <t>домофон</t>
  </si>
  <si>
    <t>кодовый замок</t>
  </si>
  <si>
    <t>мусоропровод</t>
  </si>
  <si>
    <t>1.16</t>
  </si>
  <si>
    <t>№ п/п</t>
  </si>
  <si>
    <t>Площади частей помещения</t>
  </si>
  <si>
    <t>Общая площадь (кв. м)</t>
  </si>
  <si>
    <t>Состояние частей помещения</t>
  </si>
  <si>
    <t>Вид из окон объекта оценки</t>
  </si>
  <si>
    <t>общая площадь</t>
  </si>
  <si>
    <t>жилая площадь</t>
  </si>
  <si>
    <t>кухня</t>
  </si>
  <si>
    <t xml:space="preserve">* Определяется согласно классификации ("евростандарт"/ отличное/ нормальное/ удовлетворительное/неудовлетворительное), принятой в Постановлении Правительства Санкт-Петербурга от 21.12.2005 №1958 </t>
  </si>
  <si>
    <t>1.17 Необходимость проведения ремонтных работ в объекте оценки:</t>
  </si>
  <si>
    <t>2. Описание здания размещения объекта оценки</t>
  </si>
  <si>
    <t xml:space="preserve">2.1 Год постройки:  </t>
  </si>
  <si>
    <t>2.2 Этажность здания:</t>
  </si>
  <si>
    <t>2.3 Материал стен дома:</t>
  </si>
  <si>
    <t>2.4 Харак-ка перекрытий:</t>
  </si>
  <si>
    <t>2.5 Тип дома:</t>
  </si>
  <si>
    <t>2.6 Состояние подъезда здания:</t>
  </si>
  <si>
    <t>2.7 Наличие подземных этажей (парковки) здания:</t>
  </si>
  <si>
    <t>2.8 Текущее состояние наружной отделки фасада здания:</t>
  </si>
  <si>
    <r>
      <t>3. Техническая таблица осмотра здания (</t>
    </r>
    <r>
      <rPr>
        <b/>
        <i/>
        <sz val="7"/>
        <rFont val="Arial Cyr"/>
        <charset val="204"/>
      </rPr>
      <t>заполняется для зданий до 1970 года постройки</t>
    </r>
    <r>
      <rPr>
        <b/>
        <sz val="9"/>
        <rFont val="Arial Cyr"/>
        <charset val="204"/>
      </rPr>
      <t>)</t>
    </r>
  </si>
  <si>
    <t>№</t>
  </si>
  <si>
    <t>Конструктивный элемент</t>
  </si>
  <si>
    <t>Выявленные дефекты</t>
  </si>
  <si>
    <t>Величина физического износа</t>
  </si>
  <si>
    <t>Примерный состав ремонтных работ</t>
  </si>
  <si>
    <t>Фундаменты</t>
  </si>
  <si>
    <t>износ</t>
  </si>
  <si>
    <t>Стены</t>
  </si>
  <si>
    <t>Перегородки</t>
  </si>
  <si>
    <t>Перекрытия</t>
  </si>
  <si>
    <t>Кровля</t>
  </si>
  <si>
    <t>Полы</t>
  </si>
  <si>
    <t>Оконные проемы</t>
  </si>
  <si>
    <t>Дверные проемы</t>
  </si>
  <si>
    <t>Технические устройства</t>
  </si>
  <si>
    <t>Внутренняя отделка</t>
  </si>
  <si>
    <t>Иное (лестницы, отмостка, пандусы и пр.)</t>
  </si>
  <si>
    <r>
      <t>3.1 Выводы о наличии/отсутствии существенных дефектов конструктивных элементов и инженерного оборудования, приводящих к его аварийности (</t>
    </r>
    <r>
      <rPr>
        <b/>
        <i/>
        <sz val="7"/>
        <rFont val="Arial Cyr"/>
        <charset val="204"/>
      </rPr>
      <t>заполняется для зданий до 1970 года постройки</t>
    </r>
    <r>
      <rPr>
        <b/>
        <sz val="9"/>
        <rFont val="Arial Cyr"/>
        <charset val="204"/>
      </rPr>
      <t xml:space="preserve">) </t>
    </r>
  </si>
  <si>
    <r>
      <rPr>
        <b/>
        <sz val="9"/>
        <rFont val="Arial Cyr"/>
        <charset val="204"/>
      </rPr>
      <t>3.2 Выводы о возможности проведения капитального ремонта с отселением жильцов</t>
    </r>
    <r>
      <rPr>
        <b/>
        <sz val="10"/>
        <rFont val="Arial Cyr"/>
        <charset val="204"/>
      </rPr>
      <t xml:space="preserve"> (</t>
    </r>
    <r>
      <rPr>
        <b/>
        <i/>
        <sz val="7"/>
        <rFont val="Arial Cyr"/>
        <charset val="204"/>
      </rPr>
      <t>заполняется для зданий до 1970 года постройки</t>
    </r>
    <r>
      <rPr>
        <b/>
        <sz val="10"/>
        <rFont val="Arial Cyr"/>
        <charset val="204"/>
      </rPr>
      <t xml:space="preserve">) </t>
    </r>
  </si>
  <si>
    <t>3.3 Дополнения:</t>
  </si>
  <si>
    <t>4. Описание локального местоположения объекта оценки</t>
  </si>
  <si>
    <t>4.1 Преобладающая застройка</t>
  </si>
  <si>
    <t>жилая</t>
  </si>
  <si>
    <t>4.2 Двор (благоустройство)</t>
  </si>
  <si>
    <t>4.3 Общественный транспорт</t>
  </si>
  <si>
    <t>автобус</t>
  </si>
  <si>
    <t>до метро</t>
  </si>
  <si>
    <t>общественная</t>
  </si>
  <si>
    <t>маршрутное такси</t>
  </si>
  <si>
    <t>промышленная</t>
  </si>
  <si>
    <t>трамвай</t>
  </si>
  <si>
    <t>4.4 Социальная инфраструктура микрорайона:</t>
  </si>
  <si>
    <t>Магазины</t>
  </si>
  <si>
    <t>Ясли</t>
  </si>
  <si>
    <t>Детские сады</t>
  </si>
  <si>
    <t>СТО</t>
  </si>
  <si>
    <t>Кафе, рестораны</t>
  </si>
  <si>
    <t>Школы</t>
  </si>
  <si>
    <t>Мед. учреждения</t>
  </si>
  <si>
    <t>Гаражи</t>
  </si>
  <si>
    <t>Аптеки</t>
  </si>
  <si>
    <t>ВУЗы</t>
  </si>
  <si>
    <t>Паркинги, стоянки</t>
  </si>
  <si>
    <t>Милиция</t>
  </si>
  <si>
    <t>Банки</t>
  </si>
  <si>
    <t>Иное</t>
  </si>
  <si>
    <r>
      <t xml:space="preserve">4.5 </t>
    </r>
    <r>
      <rPr>
        <b/>
        <i/>
        <sz val="8"/>
        <rFont val="Arial Cyr"/>
        <charset val="204"/>
      </rPr>
      <t>Объекты</t>
    </r>
    <r>
      <rPr>
        <b/>
        <i/>
        <sz val="9"/>
        <rFont val="Arial Cyr"/>
        <charset val="204"/>
      </rPr>
      <t xml:space="preserve"> </t>
    </r>
    <r>
      <rPr>
        <b/>
        <i/>
        <sz val="10"/>
        <rFont val="Arial Cyr"/>
        <charset val="204"/>
      </rPr>
      <t>повышающие/снижающие</t>
    </r>
    <r>
      <rPr>
        <b/>
        <i/>
        <sz val="9"/>
        <rFont val="Arial Cyr"/>
        <charset val="204"/>
      </rPr>
      <t xml:space="preserve"> </t>
    </r>
    <r>
      <rPr>
        <b/>
        <i/>
        <sz val="8"/>
        <rFont val="Arial Cyr"/>
        <charset val="204"/>
      </rPr>
      <t>привлекательность двора или района</t>
    </r>
    <r>
      <rPr>
        <b/>
        <i/>
        <sz val="9"/>
        <rFont val="Arial Cyr"/>
        <charset val="204"/>
      </rPr>
      <t>:</t>
    </r>
  </si>
  <si>
    <t>4.6 Благоустройство ближайшего окружения:</t>
  </si>
  <si>
    <t>зеленые насаждения:</t>
  </si>
  <si>
    <t>водоемы, реки:</t>
  </si>
  <si>
    <t>4.7 Парковка:</t>
  </si>
  <si>
    <t xml:space="preserve">На улице </t>
  </si>
  <si>
    <t xml:space="preserve">Во дворе </t>
  </si>
  <si>
    <t>Специально отведенная стоянка /</t>
  </si>
  <si>
    <t>Платная парковка</t>
  </si>
  <si>
    <t>4.8 Возможность подъезда т.с.:</t>
  </si>
  <si>
    <t xml:space="preserve">Легковой </t>
  </si>
  <si>
    <t xml:space="preserve">тип "Газель" </t>
  </si>
  <si>
    <t>Грузовой /</t>
  </si>
  <si>
    <t>Фура</t>
  </si>
  <si>
    <t>4.9 Район расположения объекта оценки:</t>
  </si>
  <si>
    <t>4.10 Ближайшая станция метрополитена:</t>
  </si>
  <si>
    <t>4.11 Фактическое расстояние от объекта оценки до станции метрополитена, м:</t>
  </si>
  <si>
    <t>4.12 Ближайшая железнодорожная станция:</t>
  </si>
  <si>
    <t>4.13 Фактическое расстояние от объекта оценки до ж/д станции, м:</t>
  </si>
  <si>
    <t>4.14 Пешеходная доступность:</t>
  </si>
  <si>
    <t>минут до остановки</t>
  </si>
  <si>
    <t>минут</t>
  </si>
  <si>
    <t>4.15 Дополнения:</t>
  </si>
  <si>
    <t>5. Схема проезда и локального местоположения объекта оценки и входов в него</t>
  </si>
  <si>
    <t>Представитель заказчика объекта оценки</t>
  </si>
  <si>
    <t>Пичукан А. Я.</t>
  </si>
  <si>
    <t>Другие лица имеющие отношение к оценке объекта</t>
  </si>
  <si>
    <t xml:space="preserve">к Договору № </t>
  </si>
  <si>
    <t xml:space="preserve">от </t>
  </si>
  <si>
    <t>Задание на оценку</t>
  </si>
  <si>
    <t>(наименование Объекта оценки)</t>
  </si>
  <si>
    <t>1. Объект оценки:</t>
  </si>
  <si>
    <t xml:space="preserve">2. Цель оценки: </t>
  </si>
  <si>
    <t>Определение рыночной и ликвидационной стоимости</t>
  </si>
  <si>
    <t xml:space="preserve">3. Процедура оценки: </t>
  </si>
  <si>
    <t>Определение стоимости объекта в соответствии с Федеральным законом РФ «Об оценочной деятельности в Российской Федерации» №135-ФЗ и Федеральными Стандартами оценки ФСО №1, №2, №3, утвержденными Приказами Минэкономразвития России № 297, 298, 299 от 20.05.2015, ФСО №7 Приказ Минэкономразвития России №611 от 25.09.2014, ФСО №9 Приказ Минэкономразвития России №327 от 01.06.2015</t>
  </si>
  <si>
    <t xml:space="preserve">4. Вид стоимости: </t>
  </si>
  <si>
    <t>рыночная и ликвидационная</t>
  </si>
  <si>
    <t>5. Оцениваемые права:</t>
  </si>
  <si>
    <t>собственности</t>
  </si>
  <si>
    <t>6. Собственник:</t>
  </si>
  <si>
    <t xml:space="preserve">7. Назначение оценки: </t>
  </si>
  <si>
    <t>8. Дата оценки:</t>
  </si>
  <si>
    <t>на дату осмотра</t>
  </si>
  <si>
    <t>9. Срок проведения оценки:</t>
  </si>
  <si>
    <t>с даты осмотра</t>
  </si>
  <si>
    <t>10. Оценку произвести на основании следующих документов:</t>
  </si>
  <si>
    <t>11. Информацию об ограничениях, обременениях, сервитутах, статусе объекта, правах третьих лиц на объект</t>
  </si>
  <si>
    <t>не учитывать</t>
  </si>
  <si>
    <t>12.Прочие условия:</t>
  </si>
  <si>
    <t>не установлены</t>
  </si>
  <si>
    <t>Заказчик:</t>
  </si>
  <si>
    <t>(Дата)</t>
  </si>
  <si>
    <t>( Фамилия, инициалы)</t>
  </si>
  <si>
    <t>экземпляра</t>
  </si>
  <si>
    <t>ФИО заказчика</t>
  </si>
  <si>
    <t>Стоимость услуг по оценке</t>
  </si>
  <si>
    <t>Стоимость услуг по оценке руб. пропись</t>
  </si>
  <si>
    <t>Наименование объекта оценки</t>
  </si>
  <si>
    <t>Срок оценки</t>
  </si>
  <si>
    <t>Количество экземпляров</t>
  </si>
  <si>
    <t>Представитель ЧПО Пичукан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</si>
</sst>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-* #,##0.00_р_._-;\-* #,##0.00_р_._-;_-* &quot;-&quot;??_р_._-;_-@_-"/>
    <numFmt numFmtId="165" formatCode="0.0"/>
    <numFmt numFmtId="166" formatCode="d/m"/>
    <numFmt numFmtId="167" formatCode="#,##0.0"/>
    <numFmt numFmtId="168" formatCode="0.0000%"/>
    <numFmt numFmtId="169" formatCode="dd\.mm\.yyyy"/>
    <numFmt numFmtId="170" formatCode="[$-F800]dddd\,\ mmmm\ dd\,\ yyyy"/>
    <numFmt numFmtId="171" formatCode="[$-FC19]dd\ mmmm\ yyyy\ \г\.;@"/>
    <numFmt numFmtId="172" formatCode="#,##0.0#############"/>
    <numFmt numFmtId="173" formatCode="[$-419]mmmm;@"/>
    <numFmt numFmtId="174" formatCode="#,##0.000"/>
    <numFmt numFmtId="175" formatCode="_-* #,##0_р_._-;\-* #,##0_р_._-;_-* &quot;-&quot;??_р_._-;_-@_-"/>
    <numFmt numFmtId="176" formatCode="0.0000"/>
    <numFmt numFmtId="177" formatCode="0.000"/>
    <numFmt numFmtId="178" formatCode="0.00000"/>
    <numFmt numFmtId="179" formatCode="0.000000"/>
  </numFmts>
  <fonts count="90" x14ac:knownFonts="1">
    <font>
      <sz val="9"/>
      <name val="Arial Cyr"/>
      <charset val="204"/>
    </font>
    <font>
      <sz val="9"/>
      <name val="Arial Cyr"/>
      <charset val="204"/>
    </font>
    <font>
      <b/>
      <sz val="11"/>
      <name val="Times New Roman"/>
      <family val="1"/>
    </font>
    <font>
      <sz val="11"/>
      <name val="Times New Roman"/>
      <family val="1"/>
    </font>
    <font>
      <sz val="10"/>
      <name val="Arial Cyr"/>
      <charset val="204"/>
    </font>
    <font>
      <b/>
      <sz val="12"/>
      <color indexed="10"/>
      <name val="Times New Roman"/>
      <family val="1"/>
    </font>
    <font>
      <sz val="18"/>
      <name val="Times New Roman"/>
      <family val="1"/>
    </font>
    <font>
      <b/>
      <sz val="18"/>
      <name val="Times New Roman"/>
      <family val="1"/>
    </font>
    <font>
      <b/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color indexed="10"/>
      <name val="Times New Roman"/>
      <family val="1"/>
      <charset val="204"/>
    </font>
    <font>
      <b/>
      <sz val="12"/>
      <color indexed="12"/>
      <name val="Times New Roman"/>
      <family val="1"/>
      <charset val="204"/>
    </font>
    <font>
      <b/>
      <sz val="9"/>
      <name val="Times New Roman"/>
      <family val="1"/>
    </font>
    <font>
      <b/>
      <sz val="9"/>
      <color indexed="12"/>
      <name val="Times New Roman"/>
      <family val="1"/>
      <charset val="204"/>
    </font>
    <font>
      <sz val="9"/>
      <name val="Times New Roman"/>
      <family val="1"/>
    </font>
    <font>
      <b/>
      <i/>
      <sz val="9"/>
      <name val="Times New Roman"/>
      <family val="1"/>
    </font>
    <font>
      <b/>
      <i/>
      <sz val="9"/>
      <color indexed="12"/>
      <name val="Times New Roman"/>
      <family val="1"/>
      <charset val="204"/>
    </font>
    <font>
      <i/>
      <sz val="9"/>
      <name val="Times New Roman"/>
      <family val="1"/>
      <charset val="204"/>
    </font>
    <font>
      <i/>
      <sz val="9"/>
      <name val="Times New Roman"/>
      <family val="1"/>
    </font>
    <font>
      <b/>
      <sz val="9"/>
      <name val="Arial Cyr"/>
      <charset val="204"/>
    </font>
    <font>
      <b/>
      <sz val="9"/>
      <name val="Times New Roman"/>
      <family val="1"/>
      <charset val="204"/>
    </font>
    <font>
      <b/>
      <i/>
      <sz val="9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color indexed="12"/>
      <name val="Times New Roman"/>
      <family val="1"/>
    </font>
    <font>
      <b/>
      <i/>
      <sz val="9"/>
      <color indexed="12"/>
      <name val="Times New Roman"/>
      <family val="1"/>
    </font>
    <font>
      <sz val="9"/>
      <color indexed="63"/>
      <name val="Times New Roman"/>
      <family val="1"/>
      <charset val="204"/>
    </font>
    <font>
      <b/>
      <sz val="11"/>
      <color indexed="17"/>
      <name val="Times New Roman"/>
      <family val="1"/>
      <charset val="204"/>
    </font>
    <font>
      <sz val="9"/>
      <color indexed="17"/>
      <name val="Arial Cyr"/>
      <charset val="204"/>
    </font>
    <font>
      <b/>
      <u/>
      <sz val="14"/>
      <name val="Times New Roman"/>
      <family val="1"/>
    </font>
    <font>
      <sz val="9"/>
      <name val="Bookman Old Style"/>
      <family val="1"/>
      <charset val="204"/>
    </font>
    <font>
      <sz val="12"/>
      <name val="Bookman Old Style"/>
      <family val="1"/>
      <charset val="204"/>
    </font>
    <font>
      <sz val="10"/>
      <name val="Bookman Old Style"/>
      <family val="1"/>
      <charset val="204"/>
    </font>
    <font>
      <sz val="11"/>
      <name val="Bookman Old Style"/>
      <family val="1"/>
      <charset val="204"/>
    </font>
    <font>
      <sz val="8"/>
      <name val="Bookman Old Style"/>
      <family val="1"/>
      <charset val="204"/>
    </font>
    <font>
      <b/>
      <sz val="8"/>
      <name val="Bookman Old Style"/>
      <family val="1"/>
      <charset val="204"/>
    </font>
    <font>
      <sz val="10"/>
      <name val="Arial"/>
      <family val="2"/>
      <charset val="204"/>
    </font>
    <font>
      <sz val="14"/>
      <name val="Arial"/>
      <family val="2"/>
    </font>
    <font>
      <sz val="8"/>
      <name val="Arial"/>
      <family val="2"/>
    </font>
    <font>
      <i/>
      <sz val="10"/>
      <name val="Arial"/>
      <family val="2"/>
      <charset val="204"/>
    </font>
    <font>
      <b/>
      <sz val="10"/>
      <name val="Arial"/>
      <family val="2"/>
      <charset val="204"/>
    </font>
    <font>
      <sz val="9"/>
      <color theme="0"/>
      <name val="Arial Cyr"/>
      <charset val="204"/>
    </font>
    <font>
      <b/>
      <sz val="15"/>
      <color theme="0"/>
      <name val="Times New Roman"/>
      <family val="1"/>
      <charset val="204"/>
    </font>
    <font>
      <sz val="11"/>
      <color theme="0"/>
      <name val="Times New Roman"/>
      <family val="1"/>
    </font>
    <font>
      <b/>
      <sz val="14"/>
      <color theme="0"/>
      <name val="Times New Roman"/>
      <family val="1"/>
      <charset val="204"/>
    </font>
    <font>
      <b/>
      <sz val="12"/>
      <name val="Bookman Old Style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indexed="81"/>
      <name val="Tahoma"/>
      <family val="2"/>
      <charset val="204"/>
    </font>
    <font>
      <sz val="9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2"/>
      <name val="Times New Roman"/>
      <family val="1"/>
    </font>
    <font>
      <b/>
      <sz val="12"/>
      <name val="Times New Roman"/>
      <family val="1"/>
      <charset val="204"/>
    </font>
    <font>
      <b/>
      <sz val="10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0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b/>
      <i/>
      <sz val="12"/>
      <color theme="3" tint="-0.249977111117893"/>
      <name val="Calibri"/>
      <family val="2"/>
      <charset val="204"/>
      <scheme val="minor"/>
    </font>
    <font>
      <b/>
      <sz val="10"/>
      <name val="Arial Cyr"/>
      <charset val="204"/>
    </font>
    <font>
      <b/>
      <i/>
      <sz val="11"/>
      <color theme="3" tint="-0.249977111117893"/>
      <name val="Calibri"/>
      <family val="2"/>
      <charset val="204"/>
      <scheme val="minor"/>
    </font>
    <font>
      <b/>
      <i/>
      <sz val="9"/>
      <name val="Arial Cyr"/>
      <charset val="204"/>
    </font>
    <font>
      <b/>
      <u/>
      <sz val="10"/>
      <name val="Arial Cyr"/>
      <charset val="204"/>
    </font>
    <font>
      <b/>
      <i/>
      <u/>
      <sz val="10"/>
      <name val="Arial Cyr"/>
      <charset val="204"/>
    </font>
    <font>
      <i/>
      <sz val="11"/>
      <color theme="3" tint="-0.249977111117893"/>
      <name val="Calibri"/>
      <family val="2"/>
      <charset val="204"/>
      <scheme val="minor"/>
    </font>
    <font>
      <sz val="10"/>
      <color theme="0"/>
      <name val="Arial Cyr"/>
      <charset val="204"/>
    </font>
    <font>
      <b/>
      <i/>
      <sz val="11"/>
      <name val="Calibri"/>
      <family val="2"/>
      <charset val="204"/>
      <scheme val="minor"/>
    </font>
    <font>
      <b/>
      <i/>
      <sz val="10"/>
      <color theme="3" tint="-0.249977111117893"/>
      <name val="Arial Cyr"/>
      <charset val="204"/>
    </font>
    <font>
      <b/>
      <i/>
      <sz val="10"/>
      <name val="Arial Cyr"/>
      <charset val="204"/>
    </font>
    <font>
      <i/>
      <sz val="6"/>
      <name val="Arial Cyr"/>
      <charset val="204"/>
    </font>
    <font>
      <b/>
      <sz val="6"/>
      <name val="Arial Cyr"/>
      <charset val="204"/>
    </font>
    <font>
      <b/>
      <i/>
      <sz val="7"/>
      <name val="Arial Cyr"/>
      <charset val="204"/>
    </font>
    <font>
      <b/>
      <sz val="8"/>
      <name val="Arial Cyr"/>
      <charset val="204"/>
    </font>
    <font>
      <sz val="8"/>
      <name val="Arial Cyr"/>
      <charset val="204"/>
    </font>
    <font>
      <sz val="8"/>
      <name val="Times New Roman"/>
      <family val="1"/>
      <charset val="204"/>
    </font>
    <font>
      <i/>
      <sz val="10"/>
      <color theme="3" tint="-0.249977111117893"/>
      <name val="Calibri"/>
      <family val="2"/>
      <charset val="204"/>
      <scheme val="minor"/>
    </font>
    <font>
      <sz val="10"/>
      <color rgb="FFFF0000"/>
      <name val="Arial Cyr"/>
      <charset val="204"/>
    </font>
    <font>
      <b/>
      <i/>
      <sz val="8"/>
      <name val="Arial Cyr"/>
      <charset val="204"/>
    </font>
    <font>
      <i/>
      <sz val="11"/>
      <name val="Calibri"/>
      <family val="2"/>
      <charset val="204"/>
      <scheme val="minor"/>
    </font>
    <font>
      <b/>
      <i/>
      <sz val="12"/>
      <color theme="3" tint="-0.249977111117893"/>
      <name val="Times New Roman"/>
      <family val="1"/>
      <charset val="204"/>
    </font>
    <font>
      <i/>
      <sz val="12"/>
      <color theme="3" tint="-0.249977111117893"/>
      <name val="Calibri"/>
      <family val="2"/>
      <charset val="204"/>
      <scheme val="minor"/>
    </font>
    <font>
      <sz val="7"/>
      <name val="Times New Roman"/>
      <family val="1"/>
      <charset val="204"/>
    </font>
    <font>
      <i/>
      <sz val="12"/>
      <name val="Calibri"/>
      <family val="2"/>
      <charset val="204"/>
      <scheme val="minor"/>
    </font>
    <font>
      <b/>
      <sz val="12"/>
      <color theme="3" tint="-0.249977111117893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6"/>
      <name val="Times New Roman"/>
      <family val="1"/>
      <charset val="204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/>
    <xf numFmtId="9" fontId="1" fillId="0" borderId="0" applyFont="0" applyFill="0" applyBorder="0" applyAlignment="0" applyProtection="0"/>
    <xf numFmtId="0" fontId="35" fillId="0" borderId="0"/>
    <xf numFmtId="164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00">
    <xf numFmtId="0" fontId="0" fillId="0" borderId="0" xfId="0"/>
    <xf numFmtId="0" fontId="3" fillId="0" borderId="0" xfId="0" applyFont="1" applyFill="1"/>
    <xf numFmtId="0" fontId="3" fillId="0" borderId="0" xfId="0" applyFont="1" applyFill="1" applyBorder="1"/>
    <xf numFmtId="0" fontId="0" fillId="0" borderId="0" xfId="0" applyFill="1"/>
    <xf numFmtId="0" fontId="3" fillId="0" borderId="28" xfId="0" applyFont="1" applyFill="1" applyBorder="1"/>
    <xf numFmtId="0" fontId="3" fillId="0" borderId="40" xfId="0" applyFont="1" applyFill="1" applyBorder="1"/>
    <xf numFmtId="0" fontId="3" fillId="0" borderId="33" xfId="0" applyFont="1" applyFill="1" applyBorder="1"/>
    <xf numFmtId="0" fontId="3" fillId="0" borderId="29" xfId="0" applyFont="1" applyFill="1" applyBorder="1"/>
    <xf numFmtId="0" fontId="3" fillId="0" borderId="41" xfId="0" applyFont="1" applyFill="1" applyBorder="1"/>
    <xf numFmtId="0" fontId="3" fillId="0" borderId="30" xfId="0" applyFont="1" applyFill="1" applyBorder="1"/>
    <xf numFmtId="0" fontId="3" fillId="0" borderId="32" xfId="0" applyFont="1" applyFill="1" applyBorder="1"/>
    <xf numFmtId="0" fontId="3" fillId="0" borderId="42" xfId="0" applyFont="1" applyFill="1" applyBorder="1"/>
    <xf numFmtId="0" fontId="3" fillId="0" borderId="16" xfId="0" applyFont="1" applyFill="1" applyBorder="1"/>
    <xf numFmtId="0" fontId="3" fillId="0" borderId="43" xfId="0" applyFont="1" applyFill="1" applyBorder="1"/>
    <xf numFmtId="3" fontId="8" fillId="0" borderId="0" xfId="0" applyNumberFormat="1" applyFont="1" applyFill="1"/>
    <xf numFmtId="1" fontId="3" fillId="0" borderId="0" xfId="0" applyNumberFormat="1" applyFont="1" applyFill="1"/>
    <xf numFmtId="0" fontId="6" fillId="0" borderId="0" xfId="0" applyFont="1" applyFill="1"/>
    <xf numFmtId="2" fontId="3" fillId="0" borderId="0" xfId="0" applyNumberFormat="1" applyFont="1" applyFill="1"/>
    <xf numFmtId="3" fontId="6" fillId="0" borderId="0" xfId="0" applyNumberFormat="1" applyFont="1" applyFill="1"/>
    <xf numFmtId="3" fontId="7" fillId="0" borderId="0" xfId="0" applyNumberFormat="1" applyFont="1" applyFill="1"/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center" wrapText="1"/>
    </xf>
    <xf numFmtId="0" fontId="14" fillId="0" borderId="0" xfId="0" applyFont="1" applyFill="1" applyAlignment="1">
      <alignment horizontal="center" vertical="center" wrapText="1"/>
    </xf>
    <xf numFmtId="0" fontId="12" fillId="0" borderId="0" xfId="0" applyFont="1" applyFill="1" applyAlignment="1">
      <alignment horizontal="center" wrapText="1"/>
    </xf>
    <xf numFmtId="0" fontId="13" fillId="0" borderId="0" xfId="0" applyFont="1" applyFill="1" applyAlignment="1">
      <alignment horizontal="center" wrapText="1"/>
    </xf>
    <xf numFmtId="0" fontId="14" fillId="0" borderId="0" xfId="0" applyFont="1" applyFill="1" applyBorder="1" applyAlignment="1">
      <alignment horizontal="center" wrapText="1"/>
    </xf>
    <xf numFmtId="14" fontId="13" fillId="0" borderId="0" xfId="0" applyNumberFormat="1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center" wrapText="1"/>
    </xf>
    <xf numFmtId="0" fontId="12" fillId="0" borderId="11" xfId="0" applyFont="1" applyFill="1" applyBorder="1" applyAlignment="1">
      <alignment horizontal="center" wrapText="1"/>
    </xf>
    <xf numFmtId="0" fontId="18" fillId="0" borderId="0" xfId="0" applyFont="1" applyFill="1" applyAlignment="1">
      <alignment horizontal="center" wrapText="1"/>
    </xf>
    <xf numFmtId="0" fontId="18" fillId="0" borderId="0" xfId="0" applyNumberFormat="1" applyFont="1" applyFill="1" applyAlignment="1">
      <alignment horizontal="center" wrapText="1"/>
    </xf>
    <xf numFmtId="2" fontId="13" fillId="0" borderId="0" xfId="0" applyNumberFormat="1" applyFont="1" applyFill="1" applyAlignment="1">
      <alignment horizontal="center" wrapText="1"/>
    </xf>
    <xf numFmtId="2" fontId="13" fillId="0" borderId="0" xfId="0" applyNumberFormat="1" applyFont="1" applyFill="1" applyBorder="1" applyAlignment="1">
      <alignment horizontal="center" wrapText="1"/>
    </xf>
    <xf numFmtId="0" fontId="15" fillId="0" borderId="0" xfId="0" applyFont="1" applyFill="1" applyBorder="1" applyAlignment="1">
      <alignment wrapText="1"/>
    </xf>
    <xf numFmtId="0" fontId="16" fillId="0" borderId="0" xfId="0" applyFont="1" applyFill="1" applyBorder="1" applyAlignment="1">
      <alignment wrapText="1"/>
    </xf>
    <xf numFmtId="9" fontId="13" fillId="0" borderId="0" xfId="0" applyNumberFormat="1" applyFont="1" applyFill="1" applyBorder="1" applyAlignment="1">
      <alignment horizontal="center" wrapText="1"/>
    </xf>
    <xf numFmtId="165" fontId="13" fillId="0" borderId="0" xfId="0" applyNumberFormat="1" applyFont="1" applyFill="1" applyBorder="1" applyAlignment="1">
      <alignment horizontal="center" wrapText="1"/>
    </xf>
    <xf numFmtId="167" fontId="13" fillId="0" borderId="0" xfId="0" applyNumberFormat="1" applyFont="1" applyFill="1" applyBorder="1" applyAlignment="1">
      <alignment horizontal="center" wrapText="1"/>
    </xf>
    <xf numFmtId="165" fontId="16" fillId="0" borderId="33" xfId="0" applyNumberFormat="1" applyFont="1" applyFill="1" applyBorder="1" applyAlignment="1">
      <alignment horizontal="center" wrapText="1"/>
    </xf>
    <xf numFmtId="0" fontId="13" fillId="0" borderId="11" xfId="0" applyFont="1" applyFill="1" applyBorder="1" applyAlignment="1">
      <alignment horizontal="center" wrapText="1"/>
    </xf>
    <xf numFmtId="0" fontId="13" fillId="0" borderId="18" xfId="0" applyFont="1" applyFill="1" applyBorder="1" applyAlignment="1">
      <alignment horizontal="center" wrapText="1"/>
    </xf>
    <xf numFmtId="2" fontId="13" fillId="0" borderId="11" xfId="0" applyNumberFormat="1" applyFont="1" applyFill="1" applyBorder="1" applyAlignment="1">
      <alignment horizontal="center" wrapText="1"/>
    </xf>
    <xf numFmtId="0" fontId="13" fillId="0" borderId="10" xfId="0" applyFont="1" applyFill="1" applyBorder="1" applyAlignment="1">
      <alignment horizontal="center" wrapText="1"/>
    </xf>
    <xf numFmtId="0" fontId="3" fillId="0" borderId="19" xfId="0" applyFont="1" applyFill="1" applyBorder="1"/>
    <xf numFmtId="0" fontId="20" fillId="0" borderId="11" xfId="0" applyFont="1" applyFill="1" applyBorder="1" applyAlignment="1">
      <alignment horizontal="center" wrapText="1"/>
    </xf>
    <xf numFmtId="2" fontId="20" fillId="0" borderId="11" xfId="0" applyNumberFormat="1" applyFont="1" applyFill="1" applyBorder="1" applyAlignment="1">
      <alignment horizontal="center" wrapText="1"/>
    </xf>
    <xf numFmtId="0" fontId="20" fillId="0" borderId="10" xfId="0" applyFont="1" applyFill="1" applyBorder="1" applyAlignment="1">
      <alignment horizontal="center" wrapText="1"/>
    </xf>
    <xf numFmtId="0" fontId="14" fillId="0" borderId="21" xfId="0" applyFont="1" applyFill="1" applyBorder="1" applyAlignment="1">
      <alignment horizontal="center" wrapText="1"/>
    </xf>
    <xf numFmtId="49" fontId="22" fillId="0" borderId="21" xfId="0" applyNumberFormat="1" applyFont="1" applyFill="1" applyBorder="1" applyAlignment="1">
      <alignment horizontal="center" wrapText="1"/>
    </xf>
    <xf numFmtId="0" fontId="22" fillId="0" borderId="0" xfId="0" applyFont="1" applyFill="1" applyAlignment="1">
      <alignment horizontal="center" wrapText="1"/>
    </xf>
    <xf numFmtId="0" fontId="23" fillId="0" borderId="11" xfId="0" applyFont="1" applyFill="1" applyBorder="1" applyAlignment="1">
      <alignment horizontal="center" vertical="center" wrapText="1"/>
    </xf>
    <xf numFmtId="0" fontId="12" fillId="0" borderId="12" xfId="0" applyFont="1" applyFill="1" applyBorder="1" applyAlignment="1">
      <alignment horizontal="center" vertical="center" wrapText="1"/>
    </xf>
    <xf numFmtId="0" fontId="23" fillId="0" borderId="17" xfId="1" applyFont="1" applyFill="1" applyBorder="1" applyAlignment="1">
      <alignment horizontal="center" vertical="center" wrapText="1"/>
    </xf>
    <xf numFmtId="0" fontId="14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center" wrapText="1"/>
    </xf>
    <xf numFmtId="0" fontId="12" fillId="0" borderId="12" xfId="0" applyFont="1" applyFill="1" applyBorder="1" applyAlignment="1">
      <alignment horizontal="center" wrapText="1"/>
    </xf>
    <xf numFmtId="0" fontId="20" fillId="0" borderId="12" xfId="0" applyFont="1" applyFill="1" applyBorder="1" applyAlignment="1">
      <alignment horizontal="center" wrapText="1"/>
    </xf>
    <xf numFmtId="0" fontId="24" fillId="0" borderId="8" xfId="0" applyFont="1" applyFill="1" applyBorder="1" applyAlignment="1">
      <alignment wrapText="1"/>
    </xf>
    <xf numFmtId="0" fontId="15" fillId="0" borderId="8" xfId="0" applyFont="1" applyFill="1" applyBorder="1" applyAlignment="1">
      <alignment wrapText="1"/>
    </xf>
    <xf numFmtId="0" fontId="15" fillId="0" borderId="2" xfId="0" applyFont="1" applyFill="1" applyBorder="1" applyAlignment="1">
      <alignment wrapText="1"/>
    </xf>
    <xf numFmtId="165" fontId="14" fillId="0" borderId="9" xfId="0" applyNumberFormat="1" applyFont="1" applyFill="1" applyBorder="1" applyAlignment="1">
      <alignment horizontal="center" wrapText="1"/>
    </xf>
    <xf numFmtId="0" fontId="21" fillId="0" borderId="5" xfId="0" applyFont="1" applyFill="1" applyBorder="1" applyAlignment="1">
      <alignment horizontal="left" wrapText="1"/>
    </xf>
    <xf numFmtId="1" fontId="23" fillId="0" borderId="9" xfId="2" applyNumberFormat="1" applyFont="1" applyFill="1" applyBorder="1" applyAlignment="1">
      <alignment horizontal="center" wrapText="1"/>
    </xf>
    <xf numFmtId="1" fontId="14" fillId="0" borderId="9" xfId="2" applyNumberFormat="1" applyFont="1" applyFill="1" applyBorder="1" applyAlignment="1">
      <alignment horizontal="center" wrapText="1"/>
    </xf>
    <xf numFmtId="1" fontId="14" fillId="0" borderId="31" xfId="2" applyNumberFormat="1" applyFont="1" applyFill="1" applyBorder="1" applyAlignment="1">
      <alignment horizontal="center" wrapText="1"/>
    </xf>
    <xf numFmtId="9" fontId="23" fillId="0" borderId="9" xfId="2" applyFont="1" applyFill="1" applyBorder="1" applyAlignment="1">
      <alignment horizontal="center" wrapText="1"/>
    </xf>
    <xf numFmtId="9" fontId="14" fillId="0" borderId="9" xfId="2" applyFont="1" applyFill="1" applyBorder="1" applyAlignment="1">
      <alignment horizontal="center" wrapText="1"/>
    </xf>
    <xf numFmtId="9" fontId="14" fillId="0" borderId="31" xfId="2" applyFont="1" applyFill="1" applyBorder="1" applyAlignment="1">
      <alignment horizontal="center" wrapText="1"/>
    </xf>
    <xf numFmtId="165" fontId="14" fillId="0" borderId="9" xfId="2" applyNumberFormat="1" applyFont="1" applyFill="1" applyBorder="1" applyAlignment="1">
      <alignment horizontal="center" wrapText="1"/>
    </xf>
    <xf numFmtId="165" fontId="14" fillId="0" borderId="31" xfId="2" applyNumberFormat="1" applyFont="1" applyFill="1" applyBorder="1" applyAlignment="1">
      <alignment horizontal="center" wrapText="1"/>
    </xf>
    <xf numFmtId="0" fontId="14" fillId="0" borderId="31" xfId="0" applyFont="1" applyFill="1" applyBorder="1" applyAlignment="1">
      <alignment horizontal="center" wrapText="1"/>
    </xf>
    <xf numFmtId="9" fontId="23" fillId="0" borderId="9" xfId="2" applyNumberFormat="1" applyFont="1" applyFill="1" applyBorder="1" applyAlignment="1">
      <alignment horizontal="center" wrapText="1"/>
    </xf>
    <xf numFmtId="9" fontId="14" fillId="0" borderId="9" xfId="2" applyNumberFormat="1" applyFont="1" applyFill="1" applyBorder="1" applyAlignment="1">
      <alignment horizontal="center" wrapText="1"/>
    </xf>
    <xf numFmtId="9" fontId="14" fillId="0" borderId="31" xfId="2" applyNumberFormat="1" applyFont="1" applyFill="1" applyBorder="1" applyAlignment="1">
      <alignment horizontal="center" wrapText="1"/>
    </xf>
    <xf numFmtId="165" fontId="14" fillId="0" borderId="31" xfId="0" applyNumberFormat="1" applyFont="1" applyFill="1" applyBorder="1" applyAlignment="1">
      <alignment horizontal="center" wrapText="1"/>
    </xf>
    <xf numFmtId="9" fontId="23" fillId="0" borderId="9" xfId="0" applyNumberFormat="1" applyFont="1" applyFill="1" applyBorder="1" applyAlignment="1">
      <alignment horizontal="center" wrapText="1"/>
    </xf>
    <xf numFmtId="9" fontId="14" fillId="0" borderId="9" xfId="0" applyNumberFormat="1" applyFont="1" applyFill="1" applyBorder="1" applyAlignment="1">
      <alignment horizontal="center" wrapText="1"/>
    </xf>
    <xf numFmtId="166" fontId="21" fillId="0" borderId="5" xfId="0" applyNumberFormat="1" applyFont="1" applyFill="1" applyBorder="1" applyAlignment="1">
      <alignment horizontal="left" wrapText="1"/>
    </xf>
    <xf numFmtId="14" fontId="23" fillId="0" borderId="9" xfId="0" applyNumberFormat="1" applyFont="1" applyFill="1" applyBorder="1" applyAlignment="1">
      <alignment horizontal="center" wrapText="1"/>
    </xf>
    <xf numFmtId="14" fontId="14" fillId="0" borderId="9" xfId="0" applyNumberFormat="1" applyFont="1" applyFill="1" applyBorder="1" applyAlignment="1">
      <alignment horizontal="center" wrapText="1"/>
    </xf>
    <xf numFmtId="0" fontId="23" fillId="0" borderId="22" xfId="0" applyFont="1" applyFill="1" applyBorder="1" applyAlignment="1">
      <alignment horizontal="center" wrapText="1"/>
    </xf>
    <xf numFmtId="165" fontId="14" fillId="0" borderId="22" xfId="0" applyNumberFormat="1" applyFont="1" applyFill="1" applyBorder="1" applyAlignment="1">
      <alignment horizontal="center" wrapText="1"/>
    </xf>
    <xf numFmtId="167" fontId="14" fillId="0" borderId="0" xfId="0" applyNumberFormat="1" applyFont="1" applyFill="1" applyBorder="1" applyAlignment="1">
      <alignment horizontal="center" wrapText="1"/>
    </xf>
    <xf numFmtId="167" fontId="22" fillId="0" borderId="0" xfId="0" applyNumberFormat="1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right" wrapText="1"/>
    </xf>
    <xf numFmtId="0" fontId="12" fillId="0" borderId="8" xfId="0" applyFont="1" applyFill="1" applyBorder="1" applyAlignment="1">
      <alignment horizontal="center" wrapText="1"/>
    </xf>
    <xf numFmtId="0" fontId="20" fillId="0" borderId="15" xfId="0" applyFont="1" applyFill="1" applyBorder="1" applyAlignment="1">
      <alignment horizontal="center" wrapText="1"/>
    </xf>
    <xf numFmtId="0" fontId="20" fillId="0" borderId="8" xfId="0" applyFont="1" applyFill="1" applyBorder="1" applyAlignment="1">
      <alignment horizontal="center" wrapText="1"/>
    </xf>
    <xf numFmtId="0" fontId="20" fillId="0" borderId="5" xfId="0" applyFont="1" applyFill="1" applyBorder="1" applyAlignment="1">
      <alignment horizontal="center" wrapText="1"/>
    </xf>
    <xf numFmtId="0" fontId="13" fillId="0" borderId="9" xfId="0" applyNumberFormat="1" applyFont="1" applyFill="1" applyBorder="1" applyAlignment="1">
      <alignment horizontal="center" wrapText="1"/>
    </xf>
    <xf numFmtId="0" fontId="22" fillId="0" borderId="9" xfId="0" applyNumberFormat="1" applyFont="1" applyFill="1" applyBorder="1" applyAlignment="1">
      <alignment horizontal="center" wrapText="1"/>
    </xf>
    <xf numFmtId="165" fontId="17" fillId="0" borderId="38" xfId="0" applyNumberFormat="1" applyFont="1" applyFill="1" applyBorder="1" applyAlignment="1">
      <alignment horizontal="center" wrapText="1"/>
    </xf>
    <xf numFmtId="0" fontId="21" fillId="0" borderId="5" xfId="0" applyFont="1" applyFill="1" applyBorder="1" applyAlignment="1">
      <alignment horizontal="center" wrapText="1"/>
    </xf>
    <xf numFmtId="165" fontId="16" fillId="0" borderId="9" xfId="0" applyNumberFormat="1" applyFont="1" applyFill="1" applyBorder="1" applyAlignment="1">
      <alignment horizontal="center" wrapText="1"/>
    </xf>
    <xf numFmtId="165" fontId="21" fillId="0" borderId="38" xfId="0" applyNumberFormat="1" applyFont="1" applyFill="1" applyBorder="1" applyAlignment="1">
      <alignment horizontal="center" wrapText="1"/>
    </xf>
    <xf numFmtId="165" fontId="16" fillId="0" borderId="39" xfId="0" applyNumberFormat="1" applyFont="1" applyFill="1" applyBorder="1" applyAlignment="1">
      <alignment horizontal="center" wrapText="1"/>
    </xf>
    <xf numFmtId="165" fontId="21" fillId="0" borderId="10" xfId="0" applyNumberFormat="1" applyFont="1" applyFill="1" applyBorder="1" applyAlignment="1">
      <alignment horizontal="center" wrapText="1"/>
    </xf>
    <xf numFmtId="0" fontId="13" fillId="0" borderId="8" xfId="0" applyNumberFormat="1" applyFont="1" applyFill="1" applyBorder="1" applyAlignment="1">
      <alignment horizontal="center" wrapText="1"/>
    </xf>
    <xf numFmtId="0" fontId="22" fillId="0" borderId="8" xfId="0" applyNumberFormat="1" applyFont="1" applyFill="1" applyBorder="1" applyAlignment="1">
      <alignment horizontal="center" wrapText="1"/>
    </xf>
    <xf numFmtId="0" fontId="17" fillId="0" borderId="7" xfId="0" applyNumberFormat="1" applyFont="1" applyFill="1" applyBorder="1" applyAlignment="1">
      <alignment horizontal="center" wrapText="1"/>
    </xf>
    <xf numFmtId="168" fontId="14" fillId="0" borderId="9" xfId="0" applyNumberFormat="1" applyFont="1" applyFill="1" applyBorder="1" applyAlignment="1">
      <alignment horizontal="center" wrapText="1"/>
    </xf>
    <xf numFmtId="165" fontId="16" fillId="0" borderId="22" xfId="0" applyNumberFormat="1" applyFont="1" applyFill="1" applyBorder="1" applyAlignment="1">
      <alignment horizontal="center" wrapText="1"/>
    </xf>
    <xf numFmtId="165" fontId="14" fillId="0" borderId="39" xfId="0" applyNumberFormat="1" applyFont="1" applyFill="1" applyBorder="1" applyAlignment="1">
      <alignment horizontal="center" wrapText="1"/>
    </xf>
    <xf numFmtId="165" fontId="18" fillId="0" borderId="17" xfId="0" applyNumberFormat="1" applyFont="1" applyFill="1" applyBorder="1" applyAlignment="1">
      <alignment horizontal="center" wrapText="1"/>
    </xf>
    <xf numFmtId="165" fontId="17" fillId="0" borderId="33" xfId="0" applyNumberFormat="1" applyFont="1" applyFill="1" applyBorder="1" applyAlignment="1">
      <alignment horizontal="center" wrapText="1"/>
    </xf>
    <xf numFmtId="0" fontId="22" fillId="0" borderId="0" xfId="0" applyFont="1" applyFill="1" applyAlignment="1">
      <alignment horizontal="center" vertical="center" wrapText="1"/>
    </xf>
    <xf numFmtId="0" fontId="12" fillId="0" borderId="25" xfId="0" applyFont="1" applyFill="1" applyBorder="1" applyAlignment="1">
      <alignment horizontal="center" wrapText="1"/>
    </xf>
    <xf numFmtId="9" fontId="12" fillId="0" borderId="11" xfId="0" applyNumberFormat="1" applyFont="1" applyFill="1" applyBorder="1" applyAlignment="1">
      <alignment horizontal="center" wrapText="1"/>
    </xf>
    <xf numFmtId="167" fontId="14" fillId="0" borderId="10" xfId="0" applyNumberFormat="1" applyFont="1" applyFill="1" applyBorder="1" applyAlignment="1">
      <alignment horizontal="center" wrapText="1"/>
    </xf>
    <xf numFmtId="2" fontId="12" fillId="0" borderId="10" xfId="0" applyNumberFormat="1" applyFont="1" applyFill="1" applyBorder="1" applyAlignment="1">
      <alignment horizontal="center" wrapText="1"/>
    </xf>
    <xf numFmtId="2" fontId="14" fillId="0" borderId="0" xfId="0" applyNumberFormat="1" applyFont="1" applyFill="1" applyAlignment="1">
      <alignment horizontal="center" wrapText="1"/>
    </xf>
    <xf numFmtId="2" fontId="12" fillId="0" borderId="0" xfId="0" applyNumberFormat="1" applyFont="1" applyFill="1" applyAlignment="1">
      <alignment horizontal="center" wrapText="1"/>
    </xf>
    <xf numFmtId="14" fontId="14" fillId="0" borderId="0" xfId="0" applyNumberFormat="1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wrapText="1"/>
    </xf>
    <xf numFmtId="165" fontId="14" fillId="0" borderId="0" xfId="0" applyNumberFormat="1" applyFont="1" applyFill="1" applyBorder="1" applyAlignment="1">
      <alignment horizontal="center" wrapText="1"/>
    </xf>
    <xf numFmtId="0" fontId="21" fillId="0" borderId="44" xfId="0" applyFont="1" applyFill="1" applyBorder="1" applyAlignment="1">
      <alignment horizontal="center" wrapText="1"/>
    </xf>
    <xf numFmtId="0" fontId="20" fillId="0" borderId="0" xfId="0" applyFont="1" applyFill="1" applyAlignment="1">
      <alignment horizontal="left"/>
    </xf>
    <xf numFmtId="0" fontId="20" fillId="0" borderId="11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wrapText="1"/>
    </xf>
    <xf numFmtId="0" fontId="20" fillId="0" borderId="0" xfId="0" applyFont="1" applyFill="1" applyAlignment="1">
      <alignment horizontal="center" wrapText="1"/>
    </xf>
    <xf numFmtId="0" fontId="21" fillId="0" borderId="1" xfId="0" applyFont="1" applyFill="1" applyBorder="1" applyAlignment="1">
      <alignment wrapText="1"/>
    </xf>
    <xf numFmtId="0" fontId="20" fillId="0" borderId="3" xfId="0" applyFont="1" applyFill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21" fillId="0" borderId="17" xfId="0" applyFont="1" applyFill="1" applyBorder="1" applyAlignment="1">
      <alignment wrapText="1"/>
    </xf>
    <xf numFmtId="0" fontId="21" fillId="0" borderId="0" xfId="0" applyFont="1" applyFill="1" applyBorder="1" applyAlignment="1">
      <alignment wrapText="1"/>
    </xf>
    <xf numFmtId="0" fontId="21" fillId="0" borderId="33" xfId="0" applyFont="1" applyFill="1" applyBorder="1" applyAlignment="1">
      <alignment horizontal="center" wrapText="1"/>
    </xf>
    <xf numFmtId="165" fontId="18" fillId="0" borderId="33" xfId="0" applyNumberFormat="1" applyFont="1" applyFill="1" applyBorder="1" applyAlignment="1">
      <alignment horizontal="center" wrapText="1"/>
    </xf>
    <xf numFmtId="168" fontId="21" fillId="0" borderId="5" xfId="0" applyNumberFormat="1" applyFont="1" applyFill="1" applyBorder="1" applyAlignment="1">
      <alignment horizontal="center" wrapText="1"/>
    </xf>
    <xf numFmtId="168" fontId="16" fillId="0" borderId="9" xfId="0" applyNumberFormat="1" applyFont="1" applyFill="1" applyBorder="1" applyAlignment="1">
      <alignment horizontal="center" wrapText="1"/>
    </xf>
    <xf numFmtId="168" fontId="21" fillId="0" borderId="38" xfId="0" applyNumberFormat="1" applyFont="1" applyFill="1" applyBorder="1" applyAlignment="1">
      <alignment horizontal="center" wrapText="1"/>
    </xf>
    <xf numFmtId="168" fontId="18" fillId="0" borderId="0" xfId="0" applyNumberFormat="1" applyFont="1" applyFill="1" applyAlignment="1">
      <alignment horizontal="center" wrapText="1"/>
    </xf>
    <xf numFmtId="0" fontId="3" fillId="0" borderId="30" xfId="0" applyFont="1" applyFill="1" applyBorder="1" applyAlignment="1">
      <alignment horizontal="center" vertical="center"/>
    </xf>
    <xf numFmtId="2" fontId="3" fillId="0" borderId="30" xfId="0" applyNumberFormat="1" applyFont="1" applyFill="1" applyBorder="1" applyAlignment="1">
      <alignment horizontal="center" vertical="center"/>
    </xf>
    <xf numFmtId="167" fontId="3" fillId="0" borderId="30" xfId="0" applyNumberFormat="1" applyFont="1" applyFill="1" applyBorder="1" applyAlignment="1">
      <alignment horizontal="center" vertical="center"/>
    </xf>
    <xf numFmtId="4" fontId="20" fillId="0" borderId="17" xfId="0" applyNumberFormat="1" applyFont="1" applyFill="1" applyBorder="1" applyAlignment="1">
      <alignment horizontal="center" wrapText="1"/>
    </xf>
    <xf numFmtId="4" fontId="13" fillId="0" borderId="9" xfId="0" applyNumberFormat="1" applyFont="1" applyFill="1" applyBorder="1" applyAlignment="1">
      <alignment horizontal="center" wrapText="1"/>
    </xf>
    <xf numFmtId="4" fontId="22" fillId="0" borderId="9" xfId="0" applyNumberFormat="1" applyFont="1" applyFill="1" applyBorder="1" applyAlignment="1">
      <alignment horizontal="center" wrapText="1"/>
    </xf>
    <xf numFmtId="4" fontId="14" fillId="0" borderId="0" xfId="0" applyNumberFormat="1" applyFont="1" applyFill="1" applyAlignment="1">
      <alignment horizontal="center" wrapText="1"/>
    </xf>
    <xf numFmtId="9" fontId="12" fillId="0" borderId="17" xfId="2" applyNumberFormat="1" applyFont="1" applyFill="1" applyBorder="1" applyAlignment="1">
      <alignment horizontal="center" wrapText="1"/>
    </xf>
    <xf numFmtId="9" fontId="12" fillId="0" borderId="39" xfId="2" applyNumberFormat="1" applyFont="1" applyFill="1" applyBorder="1" applyAlignment="1">
      <alignment horizont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vertical="center"/>
    </xf>
    <xf numFmtId="0" fontId="0" fillId="0" borderId="30" xfId="0" applyBorder="1" applyAlignment="1"/>
    <xf numFmtId="0" fontId="3" fillId="0" borderId="4" xfId="0" applyFont="1" applyFill="1" applyBorder="1"/>
    <xf numFmtId="0" fontId="3" fillId="0" borderId="31" xfId="0" applyFont="1" applyFill="1" applyBorder="1"/>
    <xf numFmtId="0" fontId="3" fillId="0" borderId="34" xfId="0" applyFont="1" applyFill="1" applyBorder="1"/>
    <xf numFmtId="0" fontId="3" fillId="0" borderId="29" xfId="0" applyFont="1" applyFill="1" applyBorder="1" applyAlignment="1"/>
    <xf numFmtId="0" fontId="0" fillId="0" borderId="31" xfId="0" applyBorder="1" applyAlignment="1"/>
    <xf numFmtId="0" fontId="14" fillId="2" borderId="0" xfId="0" applyFont="1" applyFill="1" applyAlignment="1">
      <alignment horizontal="center" wrapText="1"/>
    </xf>
    <xf numFmtId="0" fontId="14" fillId="0" borderId="11" xfId="0" applyFont="1" applyFill="1" applyBorder="1" applyAlignment="1">
      <alignment horizontal="center" wrapText="1"/>
    </xf>
    <xf numFmtId="4" fontId="20" fillId="3" borderId="17" xfId="0" applyNumberFormat="1" applyFont="1" applyFill="1" applyBorder="1" applyAlignment="1">
      <alignment horizontal="center" wrapText="1"/>
    </xf>
    <xf numFmtId="4" fontId="13" fillId="3" borderId="9" xfId="0" applyNumberFormat="1" applyFont="1" applyFill="1" applyBorder="1" applyAlignment="1">
      <alignment horizontal="center" wrapText="1"/>
    </xf>
    <xf numFmtId="4" fontId="22" fillId="3" borderId="9" xfId="0" applyNumberFormat="1" applyFont="1" applyFill="1" applyBorder="1" applyAlignment="1">
      <alignment horizontal="center" wrapText="1"/>
    </xf>
    <xf numFmtId="9" fontId="12" fillId="3" borderId="17" xfId="2" applyNumberFormat="1" applyFont="1" applyFill="1" applyBorder="1" applyAlignment="1">
      <alignment horizontal="center" wrapText="1"/>
    </xf>
    <xf numFmtId="4" fontId="14" fillId="3" borderId="0" xfId="0" applyNumberFormat="1" applyFont="1" applyFill="1" applyAlignment="1">
      <alignment horizontal="center" wrapText="1"/>
    </xf>
    <xf numFmtId="4" fontId="20" fillId="4" borderId="17" xfId="0" applyNumberFormat="1" applyFont="1" applyFill="1" applyBorder="1" applyAlignment="1">
      <alignment horizontal="center" wrapText="1"/>
    </xf>
    <xf numFmtId="4" fontId="13" fillId="4" borderId="9" xfId="0" applyNumberFormat="1" applyFont="1" applyFill="1" applyBorder="1" applyAlignment="1">
      <alignment horizontal="center" wrapText="1"/>
    </xf>
    <xf numFmtId="4" fontId="22" fillId="4" borderId="9" xfId="0" applyNumberFormat="1" applyFont="1" applyFill="1" applyBorder="1" applyAlignment="1">
      <alignment horizontal="center" wrapText="1"/>
    </xf>
    <xf numFmtId="9" fontId="12" fillId="4" borderId="17" xfId="2" applyNumberFormat="1" applyFont="1" applyFill="1" applyBorder="1" applyAlignment="1">
      <alignment horizontal="center" wrapText="1"/>
    </xf>
    <xf numFmtId="4" fontId="14" fillId="4" borderId="0" xfId="0" applyNumberFormat="1" applyFont="1" applyFill="1" applyAlignment="1">
      <alignment horizontal="center" wrapText="1"/>
    </xf>
    <xf numFmtId="0" fontId="20" fillId="3" borderId="22" xfId="0" applyFont="1" applyFill="1" applyBorder="1" applyAlignment="1">
      <alignment horizontal="center" vertical="center" wrapText="1"/>
    </xf>
    <xf numFmtId="0" fontId="20" fillId="0" borderId="8" xfId="0" applyFont="1" applyFill="1" applyBorder="1" applyAlignment="1">
      <alignment horizontal="center" vertical="center" wrapText="1"/>
    </xf>
    <xf numFmtId="0" fontId="20" fillId="0" borderId="39" xfId="0" applyFont="1" applyFill="1" applyBorder="1" applyAlignment="1">
      <alignment horizontal="center" vertical="center" wrapText="1"/>
    </xf>
    <xf numFmtId="167" fontId="23" fillId="0" borderId="9" xfId="0" applyNumberFormat="1" applyFont="1" applyFill="1" applyBorder="1" applyAlignment="1">
      <alignment horizontal="center" vertical="center" wrapText="1"/>
    </xf>
    <xf numFmtId="167" fontId="22" fillId="0" borderId="9" xfId="0" applyNumberFormat="1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0" fontId="20" fillId="0" borderId="9" xfId="0" applyFont="1" applyFill="1" applyBorder="1" applyAlignment="1">
      <alignment horizontal="center" vertical="center" wrapText="1"/>
    </xf>
    <xf numFmtId="0" fontId="23" fillId="0" borderId="9" xfId="0" applyFont="1" applyFill="1" applyBorder="1" applyAlignment="1">
      <alignment horizontal="center" vertical="center" wrapText="1"/>
    </xf>
    <xf numFmtId="3" fontId="22" fillId="0" borderId="9" xfId="0" applyNumberFormat="1" applyFont="1" applyFill="1" applyBorder="1" applyAlignment="1">
      <alignment horizontal="center" vertical="center" wrapText="1"/>
    </xf>
    <xf numFmtId="16" fontId="14" fillId="0" borderId="0" xfId="0" applyNumberFormat="1" applyFont="1" applyFill="1" applyAlignment="1">
      <alignment horizontal="center" vertical="center" wrapText="1"/>
    </xf>
    <xf numFmtId="14" fontId="14" fillId="0" borderId="0" xfId="0" applyNumberFormat="1" applyFont="1" applyFill="1" applyAlignment="1">
      <alignment horizontal="center" vertical="center" wrapText="1"/>
    </xf>
    <xf numFmtId="14" fontId="23" fillId="0" borderId="19" xfId="0" applyNumberFormat="1" applyFont="1" applyFill="1" applyBorder="1" applyAlignment="1">
      <alignment horizontal="center" vertical="center" wrapText="1"/>
    </xf>
    <xf numFmtId="14" fontId="22" fillId="0" borderId="19" xfId="0" applyNumberFormat="1" applyFont="1" applyFill="1" applyBorder="1" applyAlignment="1">
      <alignment horizontal="center" vertical="center" wrapText="1"/>
    </xf>
    <xf numFmtId="0" fontId="21" fillId="0" borderId="9" xfId="0" applyFont="1" applyFill="1" applyBorder="1" applyAlignment="1">
      <alignment vertical="center" wrapText="1"/>
    </xf>
    <xf numFmtId="0" fontId="24" fillId="0" borderId="19" xfId="0" applyFont="1" applyFill="1" applyBorder="1" applyAlignment="1">
      <alignment vertical="center" wrapText="1"/>
    </xf>
    <xf numFmtId="0" fontId="17" fillId="0" borderId="19" xfId="0" applyFont="1" applyFill="1" applyBorder="1" applyAlignment="1">
      <alignment vertical="center" wrapText="1"/>
    </xf>
    <xf numFmtId="14" fontId="23" fillId="0" borderId="45" xfId="0" applyNumberFormat="1" applyFont="1" applyFill="1" applyBorder="1" applyAlignment="1">
      <alignment horizontal="center" vertical="center" wrapText="1"/>
    </xf>
    <xf numFmtId="14" fontId="22" fillId="0" borderId="45" xfId="0" applyNumberFormat="1" applyFont="1" applyFill="1" applyBorder="1" applyAlignment="1">
      <alignment horizontal="center" vertical="center" wrapText="1"/>
    </xf>
    <xf numFmtId="0" fontId="20" fillId="0" borderId="5" xfId="0" applyFont="1" applyFill="1" applyBorder="1" applyAlignment="1">
      <alignment horizontal="center" vertical="center" wrapText="1"/>
    </xf>
    <xf numFmtId="14" fontId="23" fillId="0" borderId="26" xfId="0" applyNumberFormat="1" applyFont="1" applyFill="1" applyBorder="1" applyAlignment="1">
      <alignment horizontal="center" vertical="center" wrapText="1"/>
    </xf>
    <xf numFmtId="169" fontId="25" fillId="0" borderId="27" xfId="0" applyNumberFormat="1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vertical="center" wrapText="1"/>
    </xf>
    <xf numFmtId="0" fontId="17" fillId="0" borderId="15" xfId="0" applyFont="1" applyFill="1" applyBorder="1" applyAlignment="1">
      <alignment vertical="center" wrapText="1"/>
    </xf>
    <xf numFmtId="0" fontId="14" fillId="3" borderId="0" xfId="0" applyFont="1" applyFill="1" applyAlignment="1">
      <alignment horizontal="center" vertical="center" wrapText="1"/>
    </xf>
    <xf numFmtId="0" fontId="20" fillId="3" borderId="9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22" fillId="3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49" fontId="13" fillId="0" borderId="9" xfId="0" applyNumberFormat="1" applyFont="1" applyFill="1" applyBorder="1" applyAlignment="1">
      <alignment horizontal="center" vertical="center" wrapText="1"/>
    </xf>
    <xf numFmtId="49" fontId="22" fillId="0" borderId="9" xfId="0" applyNumberFormat="1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22" fillId="0" borderId="9" xfId="0" applyFont="1" applyFill="1" applyBorder="1" applyAlignment="1">
      <alignment horizontal="center" vertical="center" wrapText="1"/>
    </xf>
    <xf numFmtId="167" fontId="13" fillId="0" borderId="9" xfId="0" applyNumberFormat="1" applyFont="1" applyFill="1" applyBorder="1" applyAlignment="1">
      <alignment horizontal="center" vertical="center" wrapText="1"/>
    </xf>
    <xf numFmtId="0" fontId="20" fillId="2" borderId="9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 wrapText="1"/>
    </xf>
    <xf numFmtId="0" fontId="22" fillId="2" borderId="9" xfId="0" applyFont="1" applyFill="1" applyBorder="1" applyAlignment="1">
      <alignment horizontal="center" vertical="center" wrapText="1"/>
    </xf>
    <xf numFmtId="0" fontId="22" fillId="0" borderId="39" xfId="0" applyFont="1" applyFill="1" applyBorder="1" applyAlignment="1">
      <alignment horizontal="center" vertical="center" wrapText="1"/>
    </xf>
    <xf numFmtId="165" fontId="14" fillId="0" borderId="0" xfId="0" applyNumberFormat="1" applyFont="1" applyFill="1" applyAlignment="1">
      <alignment horizontal="center" vertical="center" wrapText="1"/>
    </xf>
    <xf numFmtId="0" fontId="22" fillId="3" borderId="3" xfId="0" applyFont="1" applyFill="1" applyBorder="1" applyAlignment="1">
      <alignment horizontal="center" vertical="center" wrapText="1"/>
    </xf>
    <xf numFmtId="0" fontId="22" fillId="0" borderId="13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18" fillId="0" borderId="0" xfId="0" applyFont="1" applyFill="1" applyAlignment="1">
      <alignment horizontal="center" vertical="center" wrapText="1"/>
    </xf>
    <xf numFmtId="1" fontId="21" fillId="0" borderId="5" xfId="0" applyNumberFormat="1" applyFont="1" applyFill="1" applyBorder="1" applyAlignment="1">
      <alignment horizontal="center" vertical="center" wrapText="1"/>
    </xf>
    <xf numFmtId="1" fontId="16" fillId="0" borderId="9" xfId="0" applyNumberFormat="1" applyFont="1" applyFill="1" applyBorder="1" applyAlignment="1">
      <alignment horizontal="center" vertical="center" wrapText="1"/>
    </xf>
    <xf numFmtId="1" fontId="21" fillId="0" borderId="9" xfId="0" applyNumberFormat="1" applyFont="1" applyFill="1" applyBorder="1" applyAlignment="1">
      <alignment horizontal="center" vertical="center" wrapText="1"/>
    </xf>
    <xf numFmtId="1" fontId="18" fillId="0" borderId="0" xfId="0" applyNumberFormat="1" applyFont="1" applyFill="1" applyAlignment="1">
      <alignment horizontal="center" vertical="center" wrapText="1"/>
    </xf>
    <xf numFmtId="0" fontId="13" fillId="0" borderId="9" xfId="0" applyNumberFormat="1" applyFont="1" applyFill="1" applyBorder="1" applyAlignment="1">
      <alignment horizontal="center" vertical="center" wrapText="1"/>
    </xf>
    <xf numFmtId="0" fontId="22" fillId="0" borderId="9" xfId="0" applyNumberFormat="1" applyFont="1" applyFill="1" applyBorder="1" applyAlignment="1">
      <alignment horizontal="center" vertical="center" wrapText="1"/>
    </xf>
    <xf numFmtId="0" fontId="17" fillId="0" borderId="9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Fill="1" applyAlignment="1">
      <alignment horizontal="center" vertical="center" wrapText="1"/>
    </xf>
    <xf numFmtId="165" fontId="17" fillId="0" borderId="38" xfId="0" applyNumberFormat="1" applyFont="1" applyFill="1" applyBorder="1" applyAlignment="1">
      <alignment horizontal="center" vertical="center" wrapText="1"/>
    </xf>
    <xf numFmtId="165" fontId="13" fillId="0" borderId="9" xfId="0" applyNumberFormat="1" applyFont="1" applyFill="1" applyBorder="1" applyAlignment="1">
      <alignment horizontal="center" vertical="center" wrapText="1"/>
    </xf>
    <xf numFmtId="165" fontId="22" fillId="0" borderId="9" xfId="0" applyNumberFormat="1" applyFont="1" applyFill="1" applyBorder="1" applyAlignment="1">
      <alignment horizontal="center" vertical="center" wrapText="1"/>
    </xf>
    <xf numFmtId="1" fontId="21" fillId="0" borderId="3" xfId="0" applyNumberFormat="1" applyFont="1" applyFill="1" applyBorder="1" applyAlignment="1">
      <alignment horizontal="center" vertical="center" wrapText="1"/>
    </xf>
    <xf numFmtId="1" fontId="16" fillId="0" borderId="22" xfId="0" applyNumberFormat="1" applyFont="1" applyFill="1" applyBorder="1" applyAlignment="1">
      <alignment horizontal="center" vertical="center" wrapText="1"/>
    </xf>
    <xf numFmtId="1" fontId="21" fillId="0" borderId="22" xfId="0" applyNumberFormat="1" applyFont="1" applyFill="1" applyBorder="1" applyAlignment="1">
      <alignment horizontal="center" vertical="center" wrapText="1"/>
    </xf>
    <xf numFmtId="0" fontId="3" fillId="0" borderId="35" xfId="0" applyFont="1" applyFill="1" applyBorder="1"/>
    <xf numFmtId="0" fontId="3" fillId="0" borderId="36" xfId="0" applyFont="1" applyFill="1" applyBorder="1"/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wrapText="1"/>
    </xf>
    <xf numFmtId="0" fontId="30" fillId="0" borderId="0" xfId="0" applyFont="1" applyAlignment="1">
      <alignment vertical="center" wrapText="1"/>
    </xf>
    <xf numFmtId="0" fontId="33" fillId="0" borderId="0" xfId="0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170" fontId="33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6" fillId="0" borderId="0" xfId="3" applyFont="1"/>
    <xf numFmtId="0" fontId="35" fillId="0" borderId="0" xfId="3" quotePrefix="1" applyFont="1"/>
    <xf numFmtId="0" fontId="37" fillId="0" borderId="0" xfId="3" applyFont="1"/>
    <xf numFmtId="0" fontId="38" fillId="0" borderId="0" xfId="3" applyFont="1"/>
    <xf numFmtId="4" fontId="35" fillId="0" borderId="0" xfId="3" applyNumberFormat="1"/>
    <xf numFmtId="0" fontId="35" fillId="0" borderId="0" xfId="3"/>
    <xf numFmtId="0" fontId="39" fillId="0" borderId="0" xfId="3" applyFont="1"/>
    <xf numFmtId="0" fontId="35" fillId="0" borderId="0" xfId="3" quotePrefix="1"/>
    <xf numFmtId="4" fontId="39" fillId="0" borderId="0" xfId="3" applyNumberFormat="1" applyFont="1"/>
    <xf numFmtId="0" fontId="35" fillId="0" borderId="0" xfId="3" quotePrefix="1" applyAlignment="1"/>
    <xf numFmtId="0" fontId="35" fillId="0" borderId="0" xfId="3" applyAlignment="1"/>
    <xf numFmtId="0" fontId="35" fillId="0" borderId="0" xfId="3" quotePrefix="1" applyFill="1" applyAlignment="1"/>
    <xf numFmtId="0" fontId="35" fillId="0" borderId="0" xfId="3" applyNumberFormat="1"/>
    <xf numFmtId="3" fontId="33" fillId="0" borderId="0" xfId="0" applyNumberFormat="1" applyFont="1" applyAlignment="1">
      <alignment horizontal="center" vertical="center"/>
    </xf>
    <xf numFmtId="0" fontId="31" fillId="0" borderId="0" xfId="3" quotePrefix="1" applyFont="1" applyAlignment="1">
      <alignment horizontal="center" vertical="center" wrapText="1"/>
    </xf>
    <xf numFmtId="0" fontId="28" fillId="0" borderId="0" xfId="0" applyFont="1" applyFill="1" applyAlignment="1">
      <alignment vertical="top"/>
    </xf>
    <xf numFmtId="171" fontId="33" fillId="0" borderId="0" xfId="0" applyNumberFormat="1" applyFont="1" applyAlignment="1">
      <alignment horizontal="center" vertical="center"/>
    </xf>
    <xf numFmtId="49" fontId="31" fillId="0" borderId="0" xfId="3" quotePrefix="1" applyNumberFormat="1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172" fontId="35" fillId="0" borderId="0" xfId="3" applyNumberFormat="1"/>
    <xf numFmtId="0" fontId="35" fillId="0" borderId="0" xfId="3" quotePrefix="1" applyFont="1" applyAlignment="1"/>
    <xf numFmtId="0" fontId="35" fillId="0" borderId="0" xfId="3" quotePrefix="1" applyNumberFormat="1"/>
    <xf numFmtId="173" fontId="29" fillId="0" borderId="0" xfId="0" applyNumberFormat="1" applyFont="1"/>
    <xf numFmtId="0" fontId="40" fillId="0" borderId="0" xfId="0" applyFont="1" applyFill="1"/>
    <xf numFmtId="2" fontId="41" fillId="0" borderId="0" xfId="0" applyNumberFormat="1" applyFont="1" applyFill="1"/>
    <xf numFmtId="3" fontId="42" fillId="0" borderId="0" xfId="0" applyNumberFormat="1" applyFont="1" applyFill="1"/>
    <xf numFmtId="1" fontId="41" fillId="0" borderId="0" xfId="0" applyNumberFormat="1" applyFont="1" applyFill="1"/>
    <xf numFmtId="0" fontId="41" fillId="0" borderId="0" xfId="0" applyFont="1" applyFill="1"/>
    <xf numFmtId="3" fontId="43" fillId="0" borderId="0" xfId="0" applyNumberFormat="1" applyFont="1" applyFill="1" applyBorder="1"/>
    <xf numFmtId="0" fontId="41" fillId="0" borderId="0" xfId="0" applyFont="1" applyFill="1" applyBorder="1"/>
    <xf numFmtId="3" fontId="43" fillId="0" borderId="0" xfId="0" applyNumberFormat="1" applyFont="1" applyFill="1"/>
    <xf numFmtId="0" fontId="42" fillId="0" borderId="0" xfId="0" applyFont="1" applyFill="1"/>
    <xf numFmtId="0" fontId="30" fillId="6" borderId="0" xfId="0" applyFont="1" applyFill="1"/>
    <xf numFmtId="49" fontId="32" fillId="6" borderId="0" xfId="0" applyNumberFormat="1" applyFont="1" applyFill="1" applyAlignment="1">
      <alignment horizontal="center" vertical="center"/>
    </xf>
    <xf numFmtId="49" fontId="32" fillId="0" borderId="0" xfId="0" applyNumberFormat="1" applyFont="1" applyAlignment="1">
      <alignment horizontal="center" vertical="center"/>
    </xf>
    <xf numFmtId="0" fontId="30" fillId="6" borderId="0" xfId="0" applyFont="1" applyFill="1" applyAlignment="1">
      <alignment vertical="center" wrapText="1"/>
    </xf>
    <xf numFmtId="2" fontId="30" fillId="0" borderId="0" xfId="0" applyNumberFormat="1" applyFont="1" applyAlignment="1">
      <alignment wrapText="1"/>
    </xf>
    <xf numFmtId="2" fontId="30" fillId="0" borderId="30" xfId="0" applyNumberFormat="1" applyFont="1" applyBorder="1" applyAlignment="1">
      <alignment wrapText="1"/>
    </xf>
    <xf numFmtId="9" fontId="30" fillId="0" borderId="30" xfId="0" applyNumberFormat="1" applyFont="1" applyBorder="1" applyAlignment="1">
      <alignment horizontal="center" vertical="center" wrapText="1"/>
    </xf>
    <xf numFmtId="2" fontId="44" fillId="0" borderId="30" xfId="0" applyNumberFormat="1" applyFont="1" applyBorder="1" applyAlignment="1">
      <alignment wrapText="1"/>
    </xf>
    <xf numFmtId="0" fontId="44" fillId="0" borderId="30" xfId="0" applyFont="1" applyBorder="1" applyAlignment="1">
      <alignment horizontal="center" vertical="center" wrapText="1"/>
    </xf>
    <xf numFmtId="0" fontId="44" fillId="7" borderId="30" xfId="0" applyFont="1" applyFill="1" applyBorder="1" applyAlignment="1">
      <alignment vertical="center" wrapText="1"/>
    </xf>
    <xf numFmtId="49" fontId="32" fillId="2" borderId="30" xfId="0" applyNumberFormat="1" applyFont="1" applyFill="1" applyBorder="1" applyAlignment="1">
      <alignment horizontal="center" vertical="center"/>
    </xf>
    <xf numFmtId="170" fontId="32" fillId="2" borderId="30" xfId="0" applyNumberFormat="1" applyFont="1" applyFill="1" applyBorder="1" applyAlignment="1">
      <alignment horizontal="center" vertical="center"/>
    </xf>
    <xf numFmtId="170" fontId="32" fillId="5" borderId="30" xfId="0" applyNumberFormat="1" applyFont="1" applyFill="1" applyBorder="1" applyAlignment="1">
      <alignment horizontal="center" vertical="center"/>
    </xf>
    <xf numFmtId="49" fontId="31" fillId="2" borderId="30" xfId="0" applyNumberFormat="1" applyFont="1" applyFill="1" applyBorder="1" applyAlignment="1">
      <alignment horizontal="center" vertical="center" wrapText="1"/>
    </xf>
    <xf numFmtId="49" fontId="32" fillId="2" borderId="30" xfId="0" applyNumberFormat="1" applyFont="1" applyFill="1" applyBorder="1" applyAlignment="1">
      <alignment horizontal="center" vertical="center" wrapText="1"/>
    </xf>
    <xf numFmtId="0" fontId="30" fillId="8" borderId="0" xfId="0" applyFont="1" applyFill="1"/>
    <xf numFmtId="0" fontId="14" fillId="8" borderId="0" xfId="0" applyFont="1" applyFill="1" applyAlignment="1">
      <alignment horizontal="center" vertical="center" wrapText="1"/>
    </xf>
    <xf numFmtId="0" fontId="14" fillId="8" borderId="0" xfId="0" applyFont="1" applyFill="1" applyBorder="1" applyAlignment="1">
      <alignment horizontal="center" wrapText="1"/>
    </xf>
    <xf numFmtId="174" fontId="14" fillId="0" borderId="0" xfId="0" applyNumberFormat="1" applyFont="1" applyFill="1" applyAlignment="1">
      <alignment horizontal="center" wrapText="1"/>
    </xf>
    <xf numFmtId="0" fontId="14" fillId="9" borderId="11" xfId="0" applyFont="1" applyFill="1" applyBorder="1" applyAlignment="1">
      <alignment horizontal="center" wrapText="1"/>
    </xf>
    <xf numFmtId="49" fontId="32" fillId="0" borderId="0" xfId="0" applyNumberFormat="1" applyFont="1" applyAlignment="1">
      <alignment horizontal="center" vertical="center" wrapText="1"/>
    </xf>
    <xf numFmtId="49" fontId="32" fillId="0" borderId="0" xfId="0" applyNumberFormat="1" applyFont="1" applyAlignment="1">
      <alignment vertical="center" wrapText="1"/>
    </xf>
    <xf numFmtId="1" fontId="33" fillId="0" borderId="0" xfId="0" applyNumberFormat="1" applyFont="1" applyAlignment="1">
      <alignment horizontal="center" vertical="center"/>
    </xf>
    <xf numFmtId="165" fontId="22" fillId="0" borderId="39" xfId="0" applyNumberFormat="1" applyFont="1" applyFill="1" applyBorder="1" applyAlignment="1">
      <alignment horizontal="center" vertical="center" wrapText="1"/>
    </xf>
    <xf numFmtId="0" fontId="31" fillId="0" borderId="0" xfId="3" quotePrefix="1" applyNumberFormat="1" applyFont="1" applyAlignment="1">
      <alignment horizontal="center" vertical="center" wrapText="1"/>
    </xf>
    <xf numFmtId="0" fontId="49" fillId="10" borderId="0" xfId="3" applyFont="1" applyFill="1"/>
    <xf numFmtId="0" fontId="49" fillId="10" borderId="0" xfId="3" quotePrefix="1" applyFont="1" applyFill="1"/>
    <xf numFmtId="49" fontId="49" fillId="10" borderId="0" xfId="3" applyNumberFormat="1" applyFont="1" applyFill="1" applyAlignment="1">
      <alignment horizontal="left" vertical="center"/>
    </xf>
    <xf numFmtId="0" fontId="49" fillId="10" borderId="0" xfId="3" applyFont="1" applyFill="1" applyAlignment="1">
      <alignment horizontal="left" vertical="center"/>
    </xf>
    <xf numFmtId="49" fontId="49" fillId="10" borderId="0" xfId="3" applyNumberFormat="1" applyFont="1" applyFill="1"/>
    <xf numFmtId="1" fontId="16" fillId="0" borderId="39" xfId="0" applyNumberFormat="1" applyFont="1" applyFill="1" applyBorder="1" applyAlignment="1">
      <alignment horizontal="center" wrapText="1"/>
    </xf>
    <xf numFmtId="1" fontId="21" fillId="0" borderId="39" xfId="0" applyNumberFormat="1" applyFont="1" applyFill="1" applyBorder="1" applyAlignment="1">
      <alignment horizontal="center" wrapText="1"/>
    </xf>
    <xf numFmtId="1" fontId="21" fillId="0" borderId="9" xfId="0" applyNumberFormat="1" applyFont="1" applyFill="1" applyBorder="1" applyAlignment="1">
      <alignment horizontal="center" wrapText="1"/>
    </xf>
    <xf numFmtId="3" fontId="10" fillId="0" borderId="20" xfId="0" applyNumberFormat="1" applyFont="1" applyFill="1" applyBorder="1" applyAlignment="1">
      <alignment horizontal="center"/>
    </xf>
    <xf numFmtId="0" fontId="53" fillId="0" borderId="0" xfId="0" applyFont="1" applyFill="1"/>
    <xf numFmtId="0" fontId="3" fillId="0" borderId="30" xfId="0" applyFont="1" applyFill="1" applyBorder="1" applyAlignment="1">
      <alignment horizontal="left"/>
    </xf>
    <xf numFmtId="3" fontId="10" fillId="0" borderId="21" xfId="0" applyNumberFormat="1" applyFont="1" applyFill="1" applyBorder="1" applyAlignment="1">
      <alignment horizontal="center"/>
    </xf>
    <xf numFmtId="0" fontId="3" fillId="0" borderId="29" xfId="0" applyFont="1" applyFill="1" applyBorder="1" applyAlignment="1">
      <alignment horizontal="left"/>
    </xf>
    <xf numFmtId="0" fontId="3" fillId="0" borderId="31" xfId="0" applyFont="1" applyFill="1" applyBorder="1" applyAlignment="1">
      <alignment horizontal="left"/>
    </xf>
    <xf numFmtId="3" fontId="35" fillId="0" borderId="0" xfId="3" quotePrefix="1" applyNumberFormat="1" applyFont="1" applyAlignment="1"/>
    <xf numFmtId="3" fontId="3" fillId="0" borderId="0" xfId="0" applyNumberFormat="1" applyFont="1" applyFill="1"/>
    <xf numFmtId="3" fontId="33" fillId="0" borderId="0" xfId="0" applyNumberFormat="1" applyFont="1" applyAlignment="1" applyProtection="1">
      <alignment horizontal="center" vertical="center" wrapText="1"/>
      <protection locked="0"/>
    </xf>
    <xf numFmtId="175" fontId="3" fillId="0" borderId="0" xfId="0" applyNumberFormat="1" applyFont="1" applyFill="1"/>
    <xf numFmtId="1" fontId="33" fillId="0" borderId="0" xfId="0" applyNumberFormat="1" applyFont="1" applyAlignment="1" applyProtection="1">
      <alignment horizontal="center" vertical="center" wrapText="1"/>
    </xf>
    <xf numFmtId="3" fontId="33" fillId="0" borderId="0" xfId="0" applyNumberFormat="1" applyFont="1" applyAlignment="1" applyProtection="1">
      <alignment horizontal="center" vertical="center" wrapText="1"/>
    </xf>
    <xf numFmtId="49" fontId="29" fillId="0" borderId="0" xfId="0" applyNumberFormat="1" applyFont="1"/>
    <xf numFmtId="0" fontId="20" fillId="4" borderId="17" xfId="0" applyFont="1" applyFill="1" applyBorder="1" applyAlignment="1">
      <alignment horizontal="center" wrapText="1"/>
    </xf>
    <xf numFmtId="9" fontId="12" fillId="4" borderId="17" xfId="2" applyFont="1" applyFill="1" applyBorder="1" applyAlignment="1">
      <alignment horizontal="center" wrapText="1"/>
    </xf>
    <xf numFmtId="0" fontId="14" fillId="4" borderId="0" xfId="0" applyFont="1" applyFill="1" applyAlignment="1">
      <alignment horizontal="center" wrapText="1"/>
    </xf>
    <xf numFmtId="2" fontId="13" fillId="0" borderId="39" xfId="0" applyNumberFormat="1" applyFont="1" applyFill="1" applyBorder="1" applyAlignment="1">
      <alignment horizontal="center" vertical="center" wrapText="1"/>
    </xf>
    <xf numFmtId="2" fontId="3" fillId="4" borderId="30" xfId="0" applyNumberFormat="1" applyFont="1" applyFill="1" applyBorder="1"/>
    <xf numFmtId="0" fontId="12" fillId="0" borderId="17" xfId="1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13" fillId="4" borderId="9" xfId="0" applyNumberFormat="1" applyFont="1" applyFill="1" applyBorder="1" applyAlignment="1">
      <alignment horizontal="center" vertical="center" wrapText="1"/>
    </xf>
    <xf numFmtId="0" fontId="22" fillId="4" borderId="9" xfId="0" applyNumberFormat="1" applyFont="1" applyFill="1" applyBorder="1" applyAlignment="1">
      <alignment horizontal="center" vertical="center" wrapText="1"/>
    </xf>
    <xf numFmtId="165" fontId="17" fillId="4" borderId="9" xfId="0" applyNumberFormat="1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1" fontId="21" fillId="4" borderId="5" xfId="0" applyNumberFormat="1" applyFont="1" applyFill="1" applyBorder="1" applyAlignment="1">
      <alignment horizontal="center" vertical="center" wrapText="1"/>
    </xf>
    <xf numFmtId="1" fontId="16" fillId="4" borderId="9" xfId="0" applyNumberFormat="1" applyFont="1" applyFill="1" applyBorder="1" applyAlignment="1">
      <alignment horizontal="center" vertical="center" wrapText="1"/>
    </xf>
    <xf numFmtId="1" fontId="21" fillId="4" borderId="9" xfId="0" applyNumberFormat="1" applyFont="1" applyFill="1" applyBorder="1" applyAlignment="1">
      <alignment horizontal="center" vertical="center" wrapText="1"/>
    </xf>
    <xf numFmtId="1" fontId="18" fillId="4" borderId="0" xfId="0" applyNumberFormat="1" applyFont="1" applyFill="1" applyAlignment="1">
      <alignment horizontal="center" vertical="center" wrapText="1"/>
    </xf>
    <xf numFmtId="0" fontId="48" fillId="4" borderId="9" xfId="0" applyNumberFormat="1" applyFont="1" applyFill="1" applyBorder="1" applyAlignment="1">
      <alignment horizontal="center" vertical="center" wrapText="1"/>
    </xf>
    <xf numFmtId="165" fontId="17" fillId="4" borderId="38" xfId="0" applyNumberFormat="1" applyFont="1" applyFill="1" applyBorder="1" applyAlignment="1">
      <alignment horizontal="center" vertical="center" wrapText="1"/>
    </xf>
    <xf numFmtId="9" fontId="14" fillId="3" borderId="0" xfId="0" applyNumberFormat="1" applyFont="1" applyFill="1" applyAlignment="1">
      <alignment horizontal="center" wrapText="1"/>
    </xf>
    <xf numFmtId="0" fontId="20" fillId="3" borderId="5" xfId="0" applyFont="1" applyFill="1" applyBorder="1" applyAlignment="1">
      <alignment horizontal="center" vertical="center" wrapText="1"/>
    </xf>
    <xf numFmtId="49" fontId="13" fillId="3" borderId="9" xfId="0" applyNumberFormat="1" applyFont="1" applyFill="1" applyBorder="1" applyAlignment="1">
      <alignment horizontal="center" vertical="center" wrapText="1"/>
    </xf>
    <xf numFmtId="49" fontId="22" fillId="3" borderId="9" xfId="0" applyNumberFormat="1" applyFont="1" applyFill="1" applyBorder="1" applyAlignment="1">
      <alignment horizontal="center" vertical="center" wrapText="1"/>
    </xf>
    <xf numFmtId="165" fontId="17" fillId="3" borderId="9" xfId="0" applyNumberFormat="1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1" fontId="21" fillId="3" borderId="5" xfId="0" applyNumberFormat="1" applyFont="1" applyFill="1" applyBorder="1" applyAlignment="1">
      <alignment horizontal="center" vertical="center" wrapText="1"/>
    </xf>
    <xf numFmtId="1" fontId="16" fillId="3" borderId="9" xfId="0" applyNumberFormat="1" applyFont="1" applyFill="1" applyBorder="1" applyAlignment="1">
      <alignment horizontal="center" vertical="center" wrapText="1"/>
    </xf>
    <xf numFmtId="1" fontId="21" fillId="3" borderId="9" xfId="0" applyNumberFormat="1" applyFont="1" applyFill="1" applyBorder="1" applyAlignment="1">
      <alignment horizontal="center" vertical="center" wrapText="1"/>
    </xf>
    <xf numFmtId="1" fontId="18" fillId="3" borderId="0" xfId="0" applyNumberFormat="1" applyFont="1" applyFill="1" applyAlignment="1">
      <alignment horizontal="center" vertical="center" wrapText="1"/>
    </xf>
    <xf numFmtId="0" fontId="48" fillId="3" borderId="9" xfId="0" applyFont="1" applyFill="1" applyBorder="1" applyAlignment="1">
      <alignment horizontal="center" vertical="center" wrapText="1"/>
    </xf>
    <xf numFmtId="0" fontId="17" fillId="4" borderId="17" xfId="0" applyNumberFormat="1" applyFont="1" applyFill="1" applyBorder="1" applyAlignment="1">
      <alignment horizontal="center" vertical="center" wrapText="1"/>
    </xf>
    <xf numFmtId="0" fontId="18" fillId="4" borderId="0" xfId="0" applyNumberFormat="1" applyFont="1" applyFill="1" applyAlignment="1">
      <alignment horizontal="center" vertical="center" wrapText="1"/>
    </xf>
    <xf numFmtId="0" fontId="20" fillId="4" borderId="8" xfId="0" applyFont="1" applyFill="1" applyBorder="1" applyAlignment="1">
      <alignment horizontal="center" vertical="center" wrapText="1"/>
    </xf>
    <xf numFmtId="49" fontId="13" fillId="4" borderId="8" xfId="0" applyNumberFormat="1" applyFont="1" applyFill="1" applyBorder="1" applyAlignment="1">
      <alignment horizontal="center" vertical="center" wrapText="1"/>
    </xf>
    <xf numFmtId="49" fontId="22" fillId="4" borderId="8" xfId="0" applyNumberFormat="1" applyFont="1" applyFill="1" applyBorder="1" applyAlignment="1">
      <alignment horizontal="center" vertical="center" wrapText="1"/>
    </xf>
    <xf numFmtId="49" fontId="22" fillId="4" borderId="17" xfId="0" applyNumberFormat="1" applyFont="1" applyFill="1" applyBorder="1" applyAlignment="1">
      <alignment horizontal="center" vertical="center" wrapText="1"/>
    </xf>
    <xf numFmtId="165" fontId="18" fillId="4" borderId="17" xfId="0" applyNumberFormat="1" applyFont="1" applyFill="1" applyBorder="1" applyAlignment="1">
      <alignment horizontal="center" vertical="center" wrapText="1"/>
    </xf>
    <xf numFmtId="0" fontId="18" fillId="4" borderId="37" xfId="0" applyFont="1" applyFill="1" applyBorder="1" applyAlignment="1">
      <alignment horizontal="center" vertical="center" wrapText="1"/>
    </xf>
    <xf numFmtId="0" fontId="0" fillId="12" borderId="30" xfId="0" applyFill="1" applyBorder="1" applyAlignment="1">
      <alignment horizontal="center" vertical="center" wrapText="1"/>
    </xf>
    <xf numFmtId="0" fontId="0" fillId="12" borderId="30" xfId="0" applyFill="1" applyBorder="1"/>
    <xf numFmtId="2" fontId="35" fillId="13" borderId="30" xfId="3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0" fillId="0" borderId="0" xfId="0" applyAlignment="1">
      <alignment vertical="center"/>
    </xf>
    <xf numFmtId="176" fontId="35" fillId="13" borderId="30" xfId="3" applyNumberFormat="1" applyFill="1" applyBorder="1" applyAlignment="1">
      <alignment horizontal="center" vertical="center"/>
    </xf>
    <xf numFmtId="0" fontId="35" fillId="13" borderId="30" xfId="3" applyFill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2" fontId="56" fillId="13" borderId="30" xfId="3" applyNumberFormat="1" applyFont="1" applyFill="1" applyBorder="1" applyAlignment="1">
      <alignment horizontal="center" vertical="center"/>
    </xf>
    <xf numFmtId="2" fontId="35" fillId="13" borderId="30" xfId="3" applyNumberFormat="1" applyFill="1" applyBorder="1" applyAlignment="1">
      <alignment horizontal="center"/>
    </xf>
    <xf numFmtId="0" fontId="57" fillId="13" borderId="30" xfId="3" applyFont="1" applyFill="1" applyBorder="1" applyAlignment="1">
      <alignment vertical="center"/>
    </xf>
    <xf numFmtId="0" fontId="59" fillId="0" borderId="30" xfId="0" applyFont="1" applyBorder="1" applyAlignment="1">
      <alignment horizontal="center" vertical="center"/>
    </xf>
    <xf numFmtId="0" fontId="0" fillId="15" borderId="41" xfId="0" applyFill="1" applyBorder="1" applyAlignment="1">
      <alignment horizontal="center" vertical="center" wrapText="1"/>
    </xf>
    <xf numFmtId="0" fontId="59" fillId="15" borderId="41" xfId="0" applyFont="1" applyFill="1" applyBorder="1" applyAlignment="1">
      <alignment horizontal="center" vertical="center"/>
    </xf>
    <xf numFmtId="165" fontId="0" fillId="16" borderId="30" xfId="0" applyNumberFormat="1" applyFill="1" applyBorder="1" applyAlignment="1">
      <alignment horizontal="center" vertical="center"/>
    </xf>
    <xf numFmtId="0" fontId="20" fillId="14" borderId="27" xfId="3" applyFont="1" applyFill="1" applyBorder="1" applyAlignment="1">
      <alignment horizontal="center" vertical="center"/>
    </xf>
    <xf numFmtId="2" fontId="56" fillId="13" borderId="35" xfId="3" applyNumberFormat="1" applyFont="1" applyFill="1" applyBorder="1" applyAlignment="1">
      <alignment horizontal="center" vertical="center"/>
    </xf>
    <xf numFmtId="2" fontId="56" fillId="13" borderId="30" xfId="5" applyNumberFormat="1" applyFont="1" applyFill="1" applyBorder="1" applyAlignment="1">
      <alignment horizontal="center" vertical="center"/>
    </xf>
    <xf numFmtId="1" fontId="56" fillId="3" borderId="30" xfId="3" applyNumberFormat="1" applyFont="1" applyFill="1" applyBorder="1" applyAlignment="1">
      <alignment horizontal="center" vertical="center"/>
    </xf>
    <xf numFmtId="0" fontId="58" fillId="0" borderId="55" xfId="0" applyFont="1" applyBorder="1" applyAlignment="1">
      <alignment vertical="center"/>
    </xf>
    <xf numFmtId="2" fontId="58" fillId="13" borderId="55" xfId="3" applyNumberFormat="1" applyFont="1" applyFill="1" applyBorder="1" applyAlignment="1">
      <alignment vertical="center"/>
    </xf>
    <xf numFmtId="0" fontId="58" fillId="0" borderId="55" xfId="0" applyFont="1" applyBorder="1" applyAlignment="1">
      <alignment horizontal="left" vertical="center" wrapText="1"/>
    </xf>
    <xf numFmtId="0" fontId="0" fillId="17" borderId="30" xfId="0" applyFill="1" applyBorder="1" applyAlignment="1">
      <alignment vertical="center"/>
    </xf>
    <xf numFmtId="0" fontId="0" fillId="17" borderId="30" xfId="0" applyFill="1" applyBorder="1" applyAlignment="1">
      <alignment horizontal="center" vertical="center"/>
    </xf>
    <xf numFmtId="2" fontId="0" fillId="17" borderId="30" xfId="0" applyNumberFormat="1" applyFill="1" applyBorder="1" applyAlignment="1">
      <alignment horizontal="center" vertical="center"/>
    </xf>
    <xf numFmtId="178" fontId="0" fillId="17" borderId="30" xfId="0" applyNumberFormat="1" applyFill="1" applyBorder="1" applyAlignment="1">
      <alignment horizontal="center" vertical="center"/>
    </xf>
    <xf numFmtId="177" fontId="59" fillId="8" borderId="30" xfId="0" applyNumberFormat="1" applyFont="1" applyFill="1" applyBorder="1" applyAlignment="1">
      <alignment vertical="center"/>
    </xf>
    <xf numFmtId="165" fontId="56" fillId="3" borderId="48" xfId="3" applyNumberFormat="1" applyFont="1" applyFill="1" applyBorder="1" applyAlignment="1">
      <alignment horizontal="center" vertical="center"/>
    </xf>
    <xf numFmtId="178" fontId="0" fillId="17" borderId="41" xfId="0" applyNumberFormat="1" applyFill="1" applyBorder="1" applyAlignment="1">
      <alignment horizontal="center" vertical="center"/>
    </xf>
    <xf numFmtId="0" fontId="0" fillId="18" borderId="30" xfId="0" applyFill="1" applyBorder="1"/>
    <xf numFmtId="179" fontId="0" fillId="18" borderId="30" xfId="0" applyNumberFormat="1" applyFill="1" applyBorder="1"/>
    <xf numFmtId="0" fontId="0" fillId="18" borderId="30" xfId="0" applyFill="1" applyBorder="1" applyAlignment="1">
      <alignment wrapText="1"/>
    </xf>
    <xf numFmtId="0" fontId="58" fillId="0" borderId="56" xfId="0" applyFont="1" applyBorder="1" applyAlignment="1">
      <alignment horizontal="left" vertical="center" wrapText="1"/>
    </xf>
    <xf numFmtId="165" fontId="0" fillId="0" borderId="57" xfId="0" applyNumberForma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8" xfId="0" applyBorder="1"/>
    <xf numFmtId="1" fontId="0" fillId="0" borderId="46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9" xfId="0" applyBorder="1"/>
    <xf numFmtId="0" fontId="0" fillId="0" borderId="47" xfId="0" applyBorder="1"/>
    <xf numFmtId="2" fontId="0" fillId="0" borderId="48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18" borderId="12" xfId="0" applyNumberFormat="1" applyFill="1" applyBorder="1"/>
    <xf numFmtId="0" fontId="0" fillId="18" borderId="25" xfId="0" applyNumberFormat="1" applyFill="1" applyBorder="1" applyAlignment="1">
      <alignment horizontal="center" vertical="center"/>
    </xf>
    <xf numFmtId="2" fontId="0" fillId="8" borderId="30" xfId="0" applyNumberFormat="1" applyFill="1" applyBorder="1"/>
    <xf numFmtId="0" fontId="4" fillId="0" borderId="0" xfId="0" applyFont="1" applyFill="1" applyBorder="1"/>
    <xf numFmtId="0" fontId="60" fillId="0" borderId="0" xfId="0" applyFont="1" applyFill="1" applyBorder="1" applyAlignment="1"/>
    <xf numFmtId="0" fontId="61" fillId="0" borderId="0" xfId="0" applyFont="1" applyFill="1" applyBorder="1" applyAlignment="1">
      <alignment vertical="center"/>
    </xf>
    <xf numFmtId="0" fontId="4" fillId="4" borderId="0" xfId="0" applyFont="1" applyFill="1" applyBorder="1"/>
    <xf numFmtId="0" fontId="60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/>
    </xf>
    <xf numFmtId="0" fontId="63" fillId="0" borderId="0" xfId="0" applyFont="1" applyFill="1" applyBorder="1"/>
    <xf numFmtId="0" fontId="6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6" fillId="0" borderId="0" xfId="0" applyFont="1" applyFill="1" applyBorder="1" applyAlignment="1">
      <alignment vertical="center"/>
    </xf>
    <xf numFmtId="0" fontId="65" fillId="0" borderId="0" xfId="0" applyFont="1" applyFill="1" applyBorder="1"/>
    <xf numFmtId="0" fontId="66" fillId="0" borderId="0" xfId="0" applyFont="1" applyFill="1" applyBorder="1" applyAlignment="1">
      <alignment horizontal="left"/>
    </xf>
    <xf numFmtId="0" fontId="4" fillId="0" borderId="0" xfId="0" applyFont="1" applyFill="1" applyBorder="1" applyAlignment="1"/>
    <xf numFmtId="0" fontId="6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63" fillId="0" borderId="0" xfId="0" applyFont="1" applyFill="1" applyBorder="1" applyAlignment="1">
      <alignment horizontal="right" vertical="center"/>
    </xf>
    <xf numFmtId="2" fontId="63" fillId="0" borderId="0" xfId="0" applyNumberFormat="1" applyFont="1" applyFill="1" applyBorder="1" applyAlignment="1">
      <alignment vertical="center"/>
    </xf>
    <xf numFmtId="0" fontId="67" fillId="0" borderId="0" xfId="0" applyFont="1" applyFill="1" applyBorder="1" applyAlignment="1"/>
    <xf numFmtId="0" fontId="4" fillId="0" borderId="42" xfId="0" applyFont="1" applyFill="1" applyBorder="1"/>
    <xf numFmtId="0" fontId="4" fillId="0" borderId="58" xfId="0" applyFont="1" applyFill="1" applyBorder="1"/>
    <xf numFmtId="0" fontId="4" fillId="0" borderId="56" xfId="0" applyFont="1" applyFill="1" applyBorder="1"/>
    <xf numFmtId="0" fontId="4" fillId="0" borderId="60" xfId="0" applyFont="1" applyFill="1" applyBorder="1"/>
    <xf numFmtId="0" fontId="4" fillId="0" borderId="43" xfId="0" applyFont="1" applyFill="1" applyBorder="1"/>
    <xf numFmtId="0" fontId="4" fillId="0" borderId="18" xfId="0" applyFont="1" applyFill="1" applyBorder="1"/>
    <xf numFmtId="0" fontId="4" fillId="0" borderId="18" xfId="0" applyFont="1" applyFill="1" applyBorder="1" applyAlignment="1">
      <alignment horizontal="left"/>
    </xf>
    <xf numFmtId="0" fontId="4" fillId="0" borderId="52" xfId="0" applyFont="1" applyFill="1" applyBorder="1"/>
    <xf numFmtId="0" fontId="4" fillId="0" borderId="0" xfId="0" applyFont="1" applyFill="1" applyBorder="1" applyAlignment="1">
      <alignment horizontal="right"/>
    </xf>
    <xf numFmtId="0" fontId="69" fillId="3" borderId="30" xfId="0" applyFont="1" applyFill="1" applyBorder="1" applyAlignment="1"/>
    <xf numFmtId="0" fontId="4" fillId="0" borderId="30" xfId="0" applyFont="1" applyFill="1" applyBorder="1"/>
    <xf numFmtId="0" fontId="4" fillId="7" borderId="0" xfId="0" applyFont="1" applyFill="1" applyBorder="1"/>
    <xf numFmtId="0" fontId="4" fillId="7" borderId="0" xfId="0" applyNumberFormat="1" applyFont="1" applyFill="1" applyBorder="1"/>
    <xf numFmtId="0" fontId="4" fillId="0" borderId="59" xfId="0" applyFont="1" applyFill="1" applyBorder="1"/>
    <xf numFmtId="0" fontId="63" fillId="0" borderId="30" xfId="0" applyFont="1" applyFill="1" applyBorder="1" applyAlignment="1">
      <alignment horizontal="center"/>
    </xf>
    <xf numFmtId="0" fontId="63" fillId="8" borderId="30" xfId="0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/>
    </xf>
    <xf numFmtId="49" fontId="65" fillId="0" borderId="0" xfId="0" applyNumberFormat="1" applyFont="1" applyFill="1" applyBorder="1"/>
    <xf numFmtId="2" fontId="4" fillId="0" borderId="0" xfId="0" applyNumberFormat="1" applyFont="1" applyFill="1" applyBorder="1"/>
    <xf numFmtId="0" fontId="63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9" fillId="0" borderId="0" xfId="0" applyFont="1" applyFill="1" applyBorder="1"/>
    <xf numFmtId="49" fontId="4" fillId="7" borderId="0" xfId="0" applyNumberFormat="1" applyFont="1" applyFill="1" applyBorder="1"/>
    <xf numFmtId="0" fontId="80" fillId="8" borderId="30" xfId="0" applyFont="1" applyFill="1" applyBorder="1"/>
    <xf numFmtId="0" fontId="4" fillId="8" borderId="30" xfId="0" applyFont="1" applyFill="1" applyBorder="1"/>
    <xf numFmtId="0" fontId="4" fillId="0" borderId="43" xfId="0" applyFont="1" applyFill="1" applyBorder="1" applyAlignment="1">
      <alignment horizontal="left" vertical="center" wrapText="1"/>
    </xf>
    <xf numFmtId="0" fontId="4" fillId="0" borderId="18" xfId="0" applyFont="1" applyFill="1" applyBorder="1" applyAlignment="1">
      <alignment horizontal="left" vertical="center" wrapText="1"/>
    </xf>
    <xf numFmtId="0" fontId="4" fillId="0" borderId="43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65" fillId="2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65" fillId="20" borderId="0" xfId="0" applyFont="1" applyFill="1" applyBorder="1" applyAlignment="1">
      <alignment horizontal="left" vertical="center" wrapText="1"/>
    </xf>
    <xf numFmtId="49" fontId="82" fillId="0" borderId="0" xfId="0" applyNumberFormat="1" applyFont="1" applyFill="1" applyBorder="1" applyAlignment="1">
      <alignment horizontal="center" vertical="center" wrapText="1"/>
    </xf>
    <xf numFmtId="49" fontId="82" fillId="0" borderId="18" xfId="0" applyNumberFormat="1" applyFont="1" applyFill="1" applyBorder="1" applyAlignment="1">
      <alignment horizontal="center" vertical="center" wrapText="1"/>
    </xf>
    <xf numFmtId="0" fontId="4" fillId="0" borderId="35" xfId="0" applyFont="1" applyFill="1" applyBorder="1"/>
    <xf numFmtId="0" fontId="4" fillId="0" borderId="35" xfId="0" applyFont="1" applyFill="1" applyBorder="1" applyAlignment="1"/>
    <xf numFmtId="0" fontId="63" fillId="0" borderId="0" xfId="0" applyFont="1" applyFill="1" applyBorder="1" applyAlignment="1"/>
    <xf numFmtId="0" fontId="53" fillId="0" borderId="0" xfId="0" applyFont="1"/>
    <xf numFmtId="0" fontId="53" fillId="0" borderId="0" xfId="0" applyFont="1" applyAlignment="1">
      <alignment vertical="top"/>
    </xf>
    <xf numFmtId="0" fontId="86" fillId="0" borderId="0" xfId="0" applyFont="1" applyBorder="1" applyAlignment="1">
      <alignment wrapText="1"/>
    </xf>
    <xf numFmtId="0" fontId="87" fillId="0" borderId="0" xfId="0" applyFont="1"/>
    <xf numFmtId="0" fontId="86" fillId="0" borderId="0" xfId="0" applyFont="1" applyBorder="1" applyAlignment="1">
      <alignment vertical="top" wrapText="1"/>
    </xf>
    <xf numFmtId="0" fontId="84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53" fillId="7" borderId="0" xfId="0" applyFont="1" applyFill="1"/>
    <xf numFmtId="0" fontId="53" fillId="0" borderId="0" xfId="0" applyFont="1" applyBorder="1"/>
    <xf numFmtId="0" fontId="53" fillId="4" borderId="0" xfId="0" applyFont="1" applyFill="1"/>
    <xf numFmtId="0" fontId="30" fillId="2" borderId="30" xfId="0" applyFont="1" applyFill="1" applyBorder="1"/>
    <xf numFmtId="0" fontId="30" fillId="2" borderId="0" xfId="0" applyFont="1" applyFill="1" applyAlignment="1">
      <alignment horizontal="right"/>
    </xf>
    <xf numFmtId="49" fontId="30" fillId="0" borderId="0" xfId="0" applyNumberFormat="1" applyFont="1"/>
    <xf numFmtId="49" fontId="30" fillId="0" borderId="0" xfId="0" applyNumberFormat="1" applyFont="1" applyAlignment="1">
      <alignment wrapText="1"/>
    </xf>
    <xf numFmtId="0" fontId="30" fillId="2" borderId="0" xfId="0" applyFont="1" applyFill="1"/>
    <xf numFmtId="0" fontId="15" fillId="0" borderId="0" xfId="0" applyFont="1" applyFill="1" applyBorder="1" applyAlignment="1">
      <alignment horizontal="left" vertical="center" wrapText="1"/>
    </xf>
    <xf numFmtId="0" fontId="19" fillId="0" borderId="0" xfId="0" applyFont="1" applyFill="1" applyAlignment="1">
      <alignment horizontal="left" vertical="center" wrapText="1"/>
    </xf>
    <xf numFmtId="0" fontId="52" fillId="0" borderId="47" xfId="0" applyFont="1" applyFill="1" applyBorder="1" applyAlignment="1">
      <alignment horizontal="left"/>
    </xf>
    <xf numFmtId="0" fontId="52" fillId="0" borderId="48" xfId="0" applyFont="1" applyFill="1" applyBorder="1" applyAlignment="1">
      <alignment horizontal="left"/>
    </xf>
    <xf numFmtId="175" fontId="52" fillId="0" borderId="48" xfId="4" applyNumberFormat="1" applyFont="1" applyFill="1" applyBorder="1" applyAlignment="1">
      <alignment horizontal="center"/>
    </xf>
    <xf numFmtId="175" fontId="52" fillId="0" borderId="49" xfId="4" applyNumberFormat="1" applyFont="1" applyFill="1" applyBorder="1" applyAlignment="1">
      <alignment horizontal="center"/>
    </xf>
    <xf numFmtId="0" fontId="3" fillId="11" borderId="14" xfId="0" applyFont="1" applyFill="1" applyBorder="1" applyAlignment="1">
      <alignment horizontal="left"/>
    </xf>
    <xf numFmtId="0" fontId="3" fillId="11" borderId="21" xfId="0" applyFont="1" applyFill="1" applyBorder="1" applyAlignment="1">
      <alignment horizontal="left"/>
    </xf>
    <xf numFmtId="0" fontId="3" fillId="11" borderId="20" xfId="0" applyFont="1" applyFill="1" applyBorder="1" applyAlignment="1">
      <alignment horizontal="left"/>
    </xf>
    <xf numFmtId="3" fontId="10" fillId="0" borderId="21" xfId="0" applyNumberFormat="1" applyFont="1" applyFill="1" applyBorder="1" applyAlignment="1">
      <alignment horizontal="center"/>
    </xf>
    <xf numFmtId="3" fontId="10" fillId="0" borderId="20" xfId="0" applyNumberFormat="1" applyFont="1" applyFill="1" applyBorder="1" applyAlignment="1">
      <alignment horizontal="center"/>
    </xf>
    <xf numFmtId="0" fontId="3" fillId="0" borderId="37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16" xfId="0" applyFont="1" applyFill="1" applyBorder="1" applyAlignment="1">
      <alignment horizontal="left"/>
    </xf>
    <xf numFmtId="0" fontId="52" fillId="0" borderId="29" xfId="0" applyFont="1" applyFill="1" applyBorder="1" applyAlignment="1">
      <alignment horizontal="left"/>
    </xf>
    <xf numFmtId="0" fontId="52" fillId="0" borderId="30" xfId="0" applyFont="1" applyFill="1" applyBorder="1" applyAlignment="1">
      <alignment horizontal="left"/>
    </xf>
    <xf numFmtId="175" fontId="53" fillId="11" borderId="46" xfId="4" applyNumberFormat="1" applyFont="1" applyFill="1" applyBorder="1" applyAlignment="1">
      <alignment horizontal="center"/>
    </xf>
    <xf numFmtId="175" fontId="53" fillId="11" borderId="2" xfId="4" applyNumberFormat="1" applyFont="1" applyFill="1" applyBorder="1" applyAlignment="1">
      <alignment horizontal="center"/>
    </xf>
    <xf numFmtId="175" fontId="52" fillId="0" borderId="30" xfId="4" applyNumberFormat="1" applyFont="1" applyFill="1" applyBorder="1" applyAlignment="1">
      <alignment horizontal="center"/>
    </xf>
    <xf numFmtId="175" fontId="52" fillId="0" borderId="31" xfId="4" applyNumberFormat="1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36" xfId="0" applyFont="1" applyFill="1" applyBorder="1" applyAlignment="1">
      <alignment horizontal="center"/>
    </xf>
    <xf numFmtId="2" fontId="2" fillId="0" borderId="50" xfId="0" applyNumberFormat="1" applyFont="1" applyFill="1" applyBorder="1" applyAlignment="1">
      <alignment horizontal="center"/>
    </xf>
    <xf numFmtId="0" fontId="0" fillId="0" borderId="6" xfId="0" applyBorder="1" applyAlignment="1"/>
    <xf numFmtId="3" fontId="26" fillId="0" borderId="51" xfId="0" applyNumberFormat="1" applyFont="1" applyFill="1" applyBorder="1" applyAlignment="1">
      <alignment horizontal="center"/>
    </xf>
    <xf numFmtId="3" fontId="27" fillId="0" borderId="19" xfId="0" applyNumberFormat="1" applyFont="1" applyBorder="1" applyAlignment="1">
      <alignment horizontal="center"/>
    </xf>
    <xf numFmtId="2" fontId="2" fillId="0" borderId="51" xfId="0" applyNumberFormat="1" applyFont="1" applyFill="1" applyBorder="1" applyAlignment="1">
      <alignment horizontal="center"/>
    </xf>
    <xf numFmtId="2" fontId="2" fillId="0" borderId="19" xfId="0" applyNumberFormat="1" applyFont="1" applyFill="1" applyBorder="1" applyAlignment="1">
      <alignment horizontal="center"/>
    </xf>
    <xf numFmtId="0" fontId="9" fillId="0" borderId="3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9" fillId="0" borderId="24" xfId="0" applyFont="1" applyBorder="1" applyAlignment="1">
      <alignment horizontal="left"/>
    </xf>
    <xf numFmtId="3" fontId="11" fillId="0" borderId="23" xfId="0" applyNumberFormat="1" applyFont="1" applyBorder="1" applyAlignment="1">
      <alignment horizontal="center"/>
    </xf>
    <xf numFmtId="3" fontId="11" fillId="0" borderId="24" xfId="0" applyNumberFormat="1" applyFont="1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19" xfId="0" applyBorder="1" applyAlignment="1">
      <alignment horizontal="center"/>
    </xf>
    <xf numFmtId="3" fontId="5" fillId="0" borderId="51" xfId="1" applyNumberFormat="1" applyFont="1" applyFill="1" applyBorder="1" applyAlignment="1">
      <alignment horizontal="center" wrapText="1"/>
    </xf>
    <xf numFmtId="0" fontId="0" fillId="0" borderId="19" xfId="0" applyBorder="1" applyAlignment="1"/>
    <xf numFmtId="0" fontId="53" fillId="0" borderId="28" xfId="0" applyFont="1" applyFill="1" applyBorder="1" applyAlignment="1">
      <alignment horizontal="left"/>
    </xf>
    <xf numFmtId="0" fontId="53" fillId="0" borderId="46" xfId="0" applyFont="1" applyFill="1" applyBorder="1" applyAlignment="1">
      <alignment horizontal="left"/>
    </xf>
    <xf numFmtId="2" fontId="22" fillId="13" borderId="42" xfId="3" applyNumberFormat="1" applyFont="1" applyFill="1" applyBorder="1" applyAlignment="1">
      <alignment horizontal="center" vertical="center" wrapText="1"/>
    </xf>
    <xf numFmtId="2" fontId="22" fillId="13" borderId="45" xfId="3" applyNumberFormat="1" applyFont="1" applyFill="1" applyBorder="1" applyAlignment="1">
      <alignment horizontal="center" vertical="center" wrapText="1"/>
    </xf>
    <xf numFmtId="2" fontId="22" fillId="13" borderId="43" xfId="3" applyNumberFormat="1" applyFont="1" applyFill="1" applyBorder="1" applyAlignment="1">
      <alignment horizontal="center" vertical="center" wrapText="1"/>
    </xf>
    <xf numFmtId="2" fontId="22" fillId="13" borderId="15" xfId="3" applyNumberFormat="1" applyFont="1" applyFill="1" applyBorder="1" applyAlignment="1">
      <alignment horizontal="center" vertical="center" wrapText="1"/>
    </xf>
    <xf numFmtId="2" fontId="22" fillId="13" borderId="29" xfId="3" applyNumberFormat="1" applyFont="1" applyFill="1" applyBorder="1" applyAlignment="1">
      <alignment horizontal="left" vertical="center"/>
    </xf>
    <xf numFmtId="2" fontId="22" fillId="13" borderId="30" xfId="3" applyNumberFormat="1" applyFont="1" applyFill="1" applyBorder="1" applyAlignment="1">
      <alignment horizontal="left" vertical="center"/>
    </xf>
    <xf numFmtId="2" fontId="22" fillId="13" borderId="41" xfId="3" applyNumberFormat="1" applyFont="1" applyFill="1" applyBorder="1" applyAlignment="1">
      <alignment horizontal="center" vertical="center" wrapText="1"/>
    </xf>
    <xf numFmtId="0" fontId="35" fillId="13" borderId="19" xfId="3" applyFill="1" applyBorder="1" applyAlignment="1">
      <alignment horizontal="center" vertical="center" wrapText="1"/>
    </xf>
    <xf numFmtId="2" fontId="22" fillId="13" borderId="47" xfId="3" applyNumberFormat="1" applyFont="1" applyFill="1" applyBorder="1" applyAlignment="1">
      <alignment horizontal="left" vertical="center"/>
    </xf>
    <xf numFmtId="2" fontId="22" fillId="13" borderId="48" xfId="3" applyNumberFormat="1" applyFont="1" applyFill="1" applyBorder="1" applyAlignment="1">
      <alignment horizontal="left" vertical="center"/>
    </xf>
    <xf numFmtId="2" fontId="22" fillId="13" borderId="54" xfId="3" applyNumberFormat="1" applyFont="1" applyFill="1" applyBorder="1" applyAlignment="1">
      <alignment horizontal="center" vertical="center" wrapText="1"/>
    </xf>
    <xf numFmtId="0" fontId="35" fillId="13" borderId="24" xfId="3" applyFill="1" applyBorder="1" applyAlignment="1">
      <alignment horizontal="center" vertical="center" wrapText="1"/>
    </xf>
    <xf numFmtId="2" fontId="20" fillId="14" borderId="26" xfId="3" applyNumberFormat="1" applyFont="1" applyFill="1" applyBorder="1" applyAlignment="1">
      <alignment horizontal="center" vertical="center"/>
    </xf>
    <xf numFmtId="2" fontId="20" fillId="14" borderId="27" xfId="3" applyNumberFormat="1" applyFont="1" applyFill="1" applyBorder="1" applyAlignment="1">
      <alignment horizontal="center" vertical="center"/>
    </xf>
    <xf numFmtId="2" fontId="20" fillId="14" borderId="53" xfId="3" applyNumberFormat="1" applyFont="1" applyFill="1" applyBorder="1" applyAlignment="1">
      <alignment horizontal="center" vertical="center"/>
    </xf>
    <xf numFmtId="2" fontId="20" fillId="14" borderId="12" xfId="3" applyNumberFormat="1" applyFont="1" applyFill="1" applyBorder="1" applyAlignment="1">
      <alignment horizontal="center" vertical="center"/>
    </xf>
    <xf numFmtId="2" fontId="22" fillId="13" borderId="34" xfId="3" applyNumberFormat="1" applyFont="1" applyFill="1" applyBorder="1" applyAlignment="1">
      <alignment horizontal="left" vertical="center"/>
    </xf>
    <xf numFmtId="2" fontId="22" fillId="13" borderId="35" xfId="3" applyNumberFormat="1" applyFont="1" applyFill="1" applyBorder="1" applyAlignment="1">
      <alignment horizontal="left" vertical="center"/>
    </xf>
    <xf numFmtId="0" fontId="35" fillId="13" borderId="15" xfId="3" applyFill="1" applyBorder="1"/>
    <xf numFmtId="0" fontId="89" fillId="0" borderId="0" xfId="0" applyFont="1" applyAlignment="1">
      <alignment horizontal="center" vertical="top"/>
    </xf>
    <xf numFmtId="0" fontId="53" fillId="0" borderId="0" xfId="0" applyFont="1" applyAlignment="1">
      <alignment horizontal="left" vertical="top" wrapText="1"/>
    </xf>
    <xf numFmtId="0" fontId="84" fillId="0" borderId="0" xfId="0" applyFont="1" applyAlignment="1">
      <alignment horizontal="left" vertical="top"/>
    </xf>
    <xf numFmtId="170" fontId="88" fillId="0" borderId="0" xfId="0" applyNumberFormat="1" applyFont="1" applyBorder="1" applyAlignment="1">
      <alignment horizontal="center"/>
    </xf>
    <xf numFmtId="0" fontId="53" fillId="0" borderId="0" xfId="0" applyFont="1" applyAlignment="1">
      <alignment horizontal="center"/>
    </xf>
    <xf numFmtId="49" fontId="84" fillId="0" borderId="0" xfId="0" applyNumberFormat="1" applyFont="1" applyBorder="1" applyAlignment="1">
      <alignment horizontal="center"/>
    </xf>
    <xf numFmtId="0" fontId="84" fillId="0" borderId="0" xfId="0" applyFont="1" applyBorder="1" applyAlignment="1">
      <alignment horizontal="center"/>
    </xf>
    <xf numFmtId="49" fontId="84" fillId="0" borderId="0" xfId="0" applyNumberFormat="1" applyFont="1" applyAlignment="1">
      <alignment horizontal="left" vertical="top" wrapText="1"/>
    </xf>
    <xf numFmtId="0" fontId="84" fillId="0" borderId="0" xfId="0" applyFont="1" applyAlignment="1">
      <alignment horizontal="left" vertical="top" wrapText="1"/>
    </xf>
    <xf numFmtId="0" fontId="85" fillId="0" borderId="0" xfId="0" applyFont="1" applyAlignment="1">
      <alignment horizontal="center" vertical="top"/>
    </xf>
    <xf numFmtId="49" fontId="84" fillId="0" borderId="0" xfId="0" applyNumberFormat="1" applyFont="1" applyBorder="1" applyAlignment="1">
      <alignment horizontal="left" vertical="top" wrapText="1"/>
    </xf>
    <xf numFmtId="0" fontId="84" fillId="0" borderId="0" xfId="0" applyFont="1" applyBorder="1" applyAlignment="1">
      <alignment horizontal="left" vertical="top" wrapText="1"/>
    </xf>
    <xf numFmtId="0" fontId="79" fillId="0" borderId="0" xfId="0" applyFont="1" applyBorder="1" applyAlignment="1">
      <alignment horizontal="left" vertical="top" wrapText="1"/>
    </xf>
    <xf numFmtId="0" fontId="84" fillId="0" borderId="0" xfId="0" applyFont="1" applyAlignment="1">
      <alignment horizontal="left" vertical="center"/>
    </xf>
    <xf numFmtId="0" fontId="84" fillId="0" borderId="18" xfId="0" applyFont="1" applyBorder="1" applyAlignment="1">
      <alignment horizontal="center" wrapText="1"/>
    </xf>
    <xf numFmtId="0" fontId="53" fillId="0" borderId="0" xfId="0" applyFont="1" applyBorder="1" applyAlignment="1">
      <alignment horizontal="center" vertical="center"/>
    </xf>
    <xf numFmtId="49" fontId="83" fillId="0" borderId="0" xfId="0" applyNumberFormat="1" applyFont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right"/>
    </xf>
    <xf numFmtId="170" fontId="83" fillId="0" borderId="0" xfId="0" applyNumberFormat="1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76" fillId="0" borderId="30" xfId="0" applyFont="1" applyFill="1" applyBorder="1" applyAlignment="1">
      <alignment horizontal="center" vertical="center" wrapText="1"/>
    </xf>
    <xf numFmtId="0" fontId="75" fillId="0" borderId="42" xfId="0" applyFont="1" applyFill="1" applyBorder="1" applyAlignment="1">
      <alignment horizontal="center"/>
    </xf>
    <xf numFmtId="0" fontId="75" fillId="0" borderId="58" xfId="0" applyFont="1" applyFill="1" applyBorder="1" applyAlignment="1">
      <alignment horizontal="center"/>
    </xf>
    <xf numFmtId="0" fontId="75" fillId="0" borderId="56" xfId="0" applyFont="1" applyFill="1" applyBorder="1" applyAlignment="1">
      <alignment horizontal="center"/>
    </xf>
    <xf numFmtId="0" fontId="75" fillId="0" borderId="43" xfId="0" applyFont="1" applyFill="1" applyBorder="1" applyAlignment="1">
      <alignment horizontal="center"/>
    </xf>
    <xf numFmtId="0" fontId="75" fillId="0" borderId="18" xfId="0" applyFont="1" applyFill="1" applyBorder="1" applyAlignment="1">
      <alignment horizontal="center"/>
    </xf>
    <xf numFmtId="0" fontId="75" fillId="0" borderId="52" xfId="0" applyFont="1" applyFill="1" applyBorder="1" applyAlignment="1">
      <alignment horizontal="center"/>
    </xf>
    <xf numFmtId="0" fontId="4" fillId="0" borderId="41" xfId="0" applyFont="1" applyFill="1" applyBorder="1"/>
    <xf numFmtId="0" fontId="4" fillId="0" borderId="51" xfId="0" applyFont="1" applyFill="1" applyBorder="1"/>
    <xf numFmtId="0" fontId="4" fillId="0" borderId="55" xfId="0" applyFont="1" applyFill="1" applyBorder="1"/>
    <xf numFmtId="0" fontId="4" fillId="19" borderId="0" xfId="0" applyFont="1" applyFill="1" applyBorder="1" applyAlignment="1">
      <alignment horizontal="center"/>
    </xf>
    <xf numFmtId="49" fontId="68" fillId="0" borderId="41" xfId="0" applyNumberFormat="1" applyFont="1" applyFill="1" applyBorder="1" applyAlignment="1">
      <alignment horizontal="center" vertical="center"/>
    </xf>
    <xf numFmtId="0" fontId="68" fillId="0" borderId="51" xfId="0" applyFont="1" applyFill="1" applyBorder="1" applyAlignment="1">
      <alignment horizontal="center" vertical="center"/>
    </xf>
    <xf numFmtId="0" fontId="68" fillId="0" borderId="55" xfId="0" applyFont="1" applyFill="1" applyBorder="1" applyAlignment="1">
      <alignment horizontal="center" vertical="center"/>
    </xf>
    <xf numFmtId="0" fontId="68" fillId="0" borderId="41" xfId="0" applyFont="1" applyFill="1" applyBorder="1" applyAlignment="1">
      <alignment horizontal="center" vertical="center"/>
    </xf>
    <xf numFmtId="49" fontId="64" fillId="0" borderId="30" xfId="0" applyNumberFormat="1" applyFont="1" applyFill="1" applyBorder="1" applyAlignment="1">
      <alignment horizontal="left"/>
    </xf>
    <xf numFmtId="0" fontId="64" fillId="0" borderId="30" xfId="0" applyFont="1" applyFill="1" applyBorder="1" applyAlignment="1">
      <alignment horizontal="left"/>
    </xf>
    <xf numFmtId="49" fontId="64" fillId="0" borderId="41" xfId="0" applyNumberFormat="1" applyFont="1" applyFill="1" applyBorder="1" applyAlignment="1">
      <alignment horizontal="left" vertical="center"/>
    </xf>
    <xf numFmtId="49" fontId="64" fillId="0" borderId="51" xfId="0" applyNumberFormat="1" applyFont="1" applyFill="1" applyBorder="1" applyAlignment="1">
      <alignment horizontal="left" vertical="center"/>
    </xf>
    <xf numFmtId="49" fontId="64" fillId="0" borderId="55" xfId="0" applyNumberFormat="1" applyFont="1" applyFill="1" applyBorder="1" applyAlignment="1">
      <alignment horizontal="left" vertical="center"/>
    </xf>
    <xf numFmtId="0" fontId="64" fillId="0" borderId="41" xfId="0" applyFont="1" applyFill="1" applyBorder="1" applyAlignment="1">
      <alignment horizontal="center"/>
    </xf>
    <xf numFmtId="0" fontId="64" fillId="0" borderId="55" xfId="0" applyFont="1" applyFill="1" applyBorder="1" applyAlignment="1">
      <alignment horizontal="center"/>
    </xf>
    <xf numFmtId="0" fontId="68" fillId="21" borderId="41" xfId="0" applyFont="1" applyFill="1" applyBorder="1" applyAlignment="1">
      <alignment horizontal="right"/>
    </xf>
    <xf numFmtId="0" fontId="68" fillId="21" borderId="51" xfId="0" applyFont="1" applyFill="1" applyBorder="1" applyAlignment="1">
      <alignment horizontal="right"/>
    </xf>
    <xf numFmtId="0" fontId="68" fillId="21" borderId="55" xfId="0" applyFont="1" applyFill="1" applyBorder="1" applyAlignment="1">
      <alignment horizontal="right"/>
    </xf>
    <xf numFmtId="0" fontId="68" fillId="21" borderId="41" xfId="0" applyFont="1" applyFill="1" applyBorder="1" applyAlignment="1">
      <alignment horizontal="center"/>
    </xf>
    <xf numFmtId="0" fontId="68" fillId="21" borderId="51" xfId="0" applyFont="1" applyFill="1" applyBorder="1" applyAlignment="1">
      <alignment horizontal="center"/>
    </xf>
    <xf numFmtId="0" fontId="68" fillId="21" borderId="55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68" fillId="21" borderId="41" xfId="0" applyFont="1" applyFill="1" applyBorder="1" applyAlignment="1">
      <alignment horizontal="left"/>
    </xf>
    <xf numFmtId="0" fontId="68" fillId="21" borderId="51" xfId="0" applyFont="1" applyFill="1" applyBorder="1" applyAlignment="1">
      <alignment horizontal="left"/>
    </xf>
    <xf numFmtId="0" fontId="68" fillId="21" borderId="55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65" fillId="20" borderId="0" xfId="0" applyFont="1" applyFill="1" applyBorder="1" applyAlignment="1">
      <alignment horizontal="left" vertical="center" wrapText="1"/>
    </xf>
    <xf numFmtId="49" fontId="68" fillId="0" borderId="42" xfId="0" applyNumberFormat="1" applyFont="1" applyFill="1" applyBorder="1" applyAlignment="1">
      <alignment horizontal="center" vertical="center" wrapText="1"/>
    </xf>
    <xf numFmtId="49" fontId="68" fillId="0" borderId="58" xfId="0" applyNumberFormat="1" applyFont="1" applyFill="1" applyBorder="1" applyAlignment="1">
      <alignment horizontal="center" vertical="center" wrapText="1"/>
    </xf>
    <xf numFmtId="49" fontId="68" fillId="0" borderId="56" xfId="0" applyNumberFormat="1" applyFont="1" applyFill="1" applyBorder="1" applyAlignment="1">
      <alignment horizontal="center" vertical="center" wrapText="1"/>
    </xf>
    <xf numFmtId="49" fontId="68" fillId="0" borderId="43" xfId="0" applyNumberFormat="1" applyFont="1" applyFill="1" applyBorder="1" applyAlignment="1">
      <alignment horizontal="center" vertical="center" wrapText="1"/>
    </xf>
    <xf numFmtId="49" fontId="68" fillId="0" borderId="18" xfId="0" applyNumberFormat="1" applyFont="1" applyFill="1" applyBorder="1" applyAlignment="1">
      <alignment horizontal="center" vertical="center" wrapText="1"/>
    </xf>
    <xf numFmtId="49" fontId="68" fillId="0" borderId="52" xfId="0" applyNumberFormat="1" applyFont="1" applyFill="1" applyBorder="1" applyAlignment="1">
      <alignment horizontal="center" vertical="center" wrapText="1"/>
    </xf>
    <xf numFmtId="0" fontId="4" fillId="8" borderId="41" xfId="0" applyFont="1" applyFill="1" applyBorder="1"/>
    <xf numFmtId="0" fontId="4" fillId="8" borderId="55" xfId="0" applyFont="1" applyFill="1" applyBorder="1"/>
    <xf numFmtId="0" fontId="4" fillId="0" borderId="0" xfId="0" applyFont="1" applyFill="1" applyBorder="1"/>
    <xf numFmtId="0" fontId="63" fillId="0" borderId="41" xfId="0" applyFont="1" applyFill="1" applyBorder="1" applyAlignment="1">
      <alignment horizontal="center"/>
    </xf>
    <xf numFmtId="0" fontId="63" fillId="0" borderId="55" xfId="0" applyFont="1" applyFill="1" applyBorder="1" applyAlignment="1">
      <alignment horizontal="center"/>
    </xf>
    <xf numFmtId="0" fontId="63" fillId="8" borderId="41" xfId="0" applyFont="1" applyFill="1" applyBorder="1" applyAlignment="1">
      <alignment horizontal="center"/>
    </xf>
    <xf numFmtId="0" fontId="63" fillId="8" borderId="55" xfId="0" applyFont="1" applyFill="1" applyBorder="1" applyAlignment="1">
      <alignment horizontal="center"/>
    </xf>
    <xf numFmtId="0" fontId="4" fillId="0" borderId="41" xfId="0" applyFont="1" applyFill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0" fontId="65" fillId="20" borderId="59" xfId="0" applyFont="1" applyFill="1" applyBorder="1" applyAlignment="1">
      <alignment horizontal="center" vertical="center" wrapText="1"/>
    </xf>
    <xf numFmtId="0" fontId="65" fillId="20" borderId="0" xfId="0" applyFont="1" applyFill="1" applyBorder="1" applyAlignment="1">
      <alignment horizontal="center" vertical="center" wrapText="1"/>
    </xf>
    <xf numFmtId="49" fontId="68" fillId="0" borderId="42" xfId="0" applyNumberFormat="1" applyFont="1" applyFill="1" applyBorder="1" applyAlignment="1">
      <alignment horizontal="left" vertical="center" wrapText="1"/>
    </xf>
    <xf numFmtId="0" fontId="68" fillId="0" borderId="58" xfId="0" applyFont="1" applyFill="1" applyBorder="1" applyAlignment="1">
      <alignment horizontal="left" vertical="center" wrapText="1"/>
    </xf>
    <xf numFmtId="0" fontId="68" fillId="0" borderId="56" xfId="0" applyFont="1" applyFill="1" applyBorder="1" applyAlignment="1">
      <alignment horizontal="left" vertical="center" wrapText="1"/>
    </xf>
    <xf numFmtId="0" fontId="68" fillId="0" borderId="59" xfId="0" applyFont="1" applyFill="1" applyBorder="1" applyAlignment="1">
      <alignment horizontal="left" vertical="center" wrapText="1"/>
    </xf>
    <xf numFmtId="0" fontId="68" fillId="0" borderId="0" xfId="0" applyFont="1" applyFill="1" applyBorder="1" applyAlignment="1">
      <alignment horizontal="left" vertical="center" wrapText="1"/>
    </xf>
    <xf numFmtId="0" fontId="68" fillId="0" borderId="60" xfId="0" applyFont="1" applyFill="1" applyBorder="1" applyAlignment="1">
      <alignment horizontal="left" vertical="center" wrapText="1"/>
    </xf>
    <xf numFmtId="0" fontId="68" fillId="0" borderId="43" xfId="0" applyFont="1" applyFill="1" applyBorder="1" applyAlignment="1">
      <alignment horizontal="left" vertical="center" wrapText="1"/>
    </xf>
    <xf numFmtId="0" fontId="68" fillId="0" borderId="18" xfId="0" applyFont="1" applyFill="1" applyBorder="1" applyAlignment="1">
      <alignment horizontal="left" vertical="center" wrapText="1"/>
    </xf>
    <xf numFmtId="0" fontId="68" fillId="0" borderId="52" xfId="0" applyFon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left" wrapText="1"/>
    </xf>
    <xf numFmtId="0" fontId="68" fillId="0" borderId="42" xfId="0" applyFont="1" applyFill="1" applyBorder="1" applyAlignment="1">
      <alignment horizontal="left" vertical="center" wrapText="1"/>
    </xf>
    <xf numFmtId="0" fontId="63" fillId="0" borderId="0" xfId="0" applyFont="1" applyFill="1" applyBorder="1" applyAlignment="1">
      <alignment horizontal="left" wrapText="1"/>
    </xf>
    <xf numFmtId="0" fontId="68" fillId="0" borderId="42" xfId="0" applyFont="1" applyFill="1" applyBorder="1" applyAlignment="1">
      <alignment horizontal="left" vertical="center"/>
    </xf>
    <xf numFmtId="0" fontId="68" fillId="0" borderId="58" xfId="0" applyFont="1" applyFill="1" applyBorder="1" applyAlignment="1">
      <alignment horizontal="left" vertical="center"/>
    </xf>
    <xf numFmtId="0" fontId="68" fillId="0" borderId="56" xfId="0" applyFont="1" applyFill="1" applyBorder="1" applyAlignment="1">
      <alignment horizontal="left" vertical="center"/>
    </xf>
    <xf numFmtId="0" fontId="68" fillId="0" borderId="59" xfId="0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68" fillId="0" borderId="60" xfId="0" applyFont="1" applyFill="1" applyBorder="1" applyAlignment="1">
      <alignment horizontal="left" vertical="center"/>
    </xf>
    <xf numFmtId="0" fontId="68" fillId="0" borderId="43" xfId="0" applyFont="1" applyFill="1" applyBorder="1" applyAlignment="1">
      <alignment horizontal="left" vertical="center"/>
    </xf>
    <xf numFmtId="0" fontId="68" fillId="0" borderId="18" xfId="0" applyFont="1" applyFill="1" applyBorder="1" applyAlignment="1">
      <alignment horizontal="left" vertical="center"/>
    </xf>
    <xf numFmtId="0" fontId="68" fillId="0" borderId="52" xfId="0" applyFont="1" applyFill="1" applyBorder="1" applyAlignment="1">
      <alignment horizontal="left" vertical="center"/>
    </xf>
    <xf numFmtId="0" fontId="77" fillId="0" borderId="30" xfId="0" applyFont="1" applyFill="1" applyBorder="1" applyAlignment="1">
      <alignment horizontal="center" vertical="center"/>
    </xf>
    <xf numFmtId="0" fontId="78" fillId="0" borderId="30" xfId="0" applyFont="1" applyFill="1" applyBorder="1" applyAlignment="1">
      <alignment horizontal="left" vertical="center" wrapText="1"/>
    </xf>
    <xf numFmtId="0" fontId="79" fillId="0" borderId="30" xfId="0" applyNumberFormat="1" applyFont="1" applyFill="1" applyBorder="1" applyAlignment="1">
      <alignment horizontal="left" vertical="center" wrapText="1"/>
    </xf>
    <xf numFmtId="9" fontId="79" fillId="0" borderId="30" xfId="0" applyNumberFormat="1" applyFont="1" applyFill="1" applyBorder="1" applyAlignment="1">
      <alignment horizontal="center"/>
    </xf>
    <xf numFmtId="0" fontId="76" fillId="0" borderId="41" xfId="0" applyFont="1" applyFill="1" applyBorder="1" applyAlignment="1">
      <alignment horizontal="center" vertical="center" wrapText="1"/>
    </xf>
    <xf numFmtId="0" fontId="76" fillId="0" borderId="55" xfId="0" applyFont="1" applyFill="1" applyBorder="1" applyAlignment="1">
      <alignment horizontal="center" vertical="center" wrapText="1"/>
    </xf>
    <xf numFmtId="0" fontId="76" fillId="0" borderId="51" xfId="0" applyFont="1" applyFill="1" applyBorder="1" applyAlignment="1">
      <alignment horizontal="center" vertical="center" wrapText="1"/>
    </xf>
    <xf numFmtId="0" fontId="79" fillId="0" borderId="30" xfId="0" applyFont="1" applyFill="1" applyBorder="1" applyAlignment="1">
      <alignment horizontal="left" vertical="center" wrapText="1"/>
    </xf>
    <xf numFmtId="0" fontId="68" fillId="0" borderId="41" xfId="0" applyFont="1" applyFill="1" applyBorder="1" applyAlignment="1">
      <alignment horizontal="left" vertical="center" wrapText="1"/>
    </xf>
    <xf numFmtId="0" fontId="68" fillId="0" borderId="51" xfId="0" applyFont="1" applyFill="1" applyBorder="1" applyAlignment="1">
      <alignment horizontal="left" vertical="center" wrapText="1"/>
    </xf>
    <xf numFmtId="0" fontId="68" fillId="0" borderId="55" xfId="0" applyFont="1" applyFill="1" applyBorder="1" applyAlignment="1">
      <alignment horizontal="left" vertical="center" wrapText="1"/>
    </xf>
    <xf numFmtId="49" fontId="68" fillId="0" borderId="41" xfId="0" applyNumberFormat="1" applyFont="1" applyFill="1" applyBorder="1" applyAlignment="1">
      <alignment horizontal="left" vertical="center"/>
    </xf>
    <xf numFmtId="0" fontId="68" fillId="0" borderId="51" xfId="0" applyFont="1" applyFill="1" applyBorder="1" applyAlignment="1">
      <alignment horizontal="left" vertical="center"/>
    </xf>
    <xf numFmtId="0" fontId="68" fillId="0" borderId="55" xfId="0" applyFont="1" applyFill="1" applyBorder="1" applyAlignment="1">
      <alignment horizontal="left" vertical="center"/>
    </xf>
    <xf numFmtId="0" fontId="65" fillId="0" borderId="0" xfId="0" applyFont="1" applyFill="1" applyBorder="1" applyAlignment="1">
      <alignment horizontal="left" vertical="center" wrapText="1"/>
    </xf>
    <xf numFmtId="49" fontId="68" fillId="0" borderId="42" xfId="0" applyNumberFormat="1" applyFont="1" applyFill="1" applyBorder="1" applyAlignment="1">
      <alignment horizontal="left" vertical="center"/>
    </xf>
    <xf numFmtId="0" fontId="65" fillId="19" borderId="0" xfId="0" applyFont="1" applyFill="1" applyBorder="1" applyAlignment="1">
      <alignment horizontal="center" vertical="center" wrapText="1"/>
    </xf>
    <xf numFmtId="49" fontId="64" fillId="0" borderId="41" xfId="0" applyNumberFormat="1" applyFont="1" applyFill="1" applyBorder="1" applyAlignment="1">
      <alignment horizontal="center" vertical="center"/>
    </xf>
    <xf numFmtId="0" fontId="64" fillId="0" borderId="51" xfId="0" applyFont="1" applyFill="1" applyBorder="1" applyAlignment="1">
      <alignment horizontal="center" vertical="center"/>
    </xf>
    <xf numFmtId="0" fontId="64" fillId="0" borderId="55" xfId="0" applyFont="1" applyFill="1" applyBorder="1" applyAlignment="1">
      <alignment horizontal="center" vertical="center"/>
    </xf>
    <xf numFmtId="49" fontId="68" fillId="0" borderId="41" xfId="0" applyNumberFormat="1" applyFont="1" applyFill="1" applyBorder="1" applyAlignment="1">
      <alignment horizontal="center" vertical="center" wrapText="1"/>
    </xf>
    <xf numFmtId="0" fontId="68" fillId="0" borderId="51" xfId="0" applyFont="1" applyFill="1" applyBorder="1" applyAlignment="1">
      <alignment horizontal="center" vertical="center" wrapText="1"/>
    </xf>
    <xf numFmtId="0" fontId="68" fillId="0" borderId="55" xfId="0" applyFont="1" applyFill="1" applyBorder="1" applyAlignment="1">
      <alignment horizontal="center" vertical="center" wrapText="1"/>
    </xf>
    <xf numFmtId="0" fontId="4" fillId="0" borderId="41" xfId="0" applyFont="1" applyFill="1" applyBorder="1" applyAlignment="1">
      <alignment horizontal="center" vertical="center" wrapText="1"/>
    </xf>
    <xf numFmtId="0" fontId="4" fillId="0" borderId="51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165" fontId="63" fillId="0" borderId="30" xfId="0" applyNumberFormat="1" applyFont="1" applyFill="1" applyBorder="1" applyAlignment="1">
      <alignment horizontal="center" vertical="center" wrapText="1"/>
    </xf>
    <xf numFmtId="0" fontId="72" fillId="0" borderId="30" xfId="0" applyFont="1" applyFill="1" applyBorder="1" applyAlignment="1">
      <alignment horizontal="center"/>
    </xf>
    <xf numFmtId="14" fontId="72" fillId="0" borderId="41" xfId="0" applyNumberFormat="1" applyFont="1" applyFill="1" applyBorder="1" applyAlignment="1">
      <alignment horizontal="center" wrapText="1"/>
    </xf>
    <xf numFmtId="0" fontId="72" fillId="0" borderId="51" xfId="0" applyFont="1" applyFill="1" applyBorder="1" applyAlignment="1">
      <alignment horizontal="center" wrapText="1"/>
    </xf>
    <xf numFmtId="0" fontId="72" fillId="0" borderId="55" xfId="0" applyFont="1" applyFill="1" applyBorder="1" applyAlignment="1">
      <alignment horizontal="center" wrapText="1"/>
    </xf>
    <xf numFmtId="0" fontId="63" fillId="0" borderId="41" xfId="0" applyFont="1" applyFill="1" applyBorder="1" applyAlignment="1">
      <alignment horizontal="center" vertical="center" wrapText="1"/>
    </xf>
    <xf numFmtId="0" fontId="63" fillId="0" borderId="51" xfId="0" applyFont="1" applyFill="1" applyBorder="1" applyAlignment="1">
      <alignment horizontal="center" vertical="center" wrapText="1"/>
    </xf>
    <xf numFmtId="0" fontId="63" fillId="0" borderId="55" xfId="0" applyFont="1" applyFill="1" applyBorder="1" applyAlignment="1">
      <alignment horizontal="center" vertical="center" wrapText="1"/>
    </xf>
    <xf numFmtId="0" fontId="73" fillId="0" borderId="0" xfId="0" applyFont="1" applyFill="1" applyBorder="1" applyAlignment="1">
      <alignment horizontal="left" wrapText="1"/>
    </xf>
    <xf numFmtId="0" fontId="74" fillId="0" borderId="0" xfId="0" applyFont="1" applyFill="1" applyBorder="1" applyAlignment="1">
      <alignment horizontal="left" wrapText="1"/>
    </xf>
    <xf numFmtId="1" fontId="70" fillId="0" borderId="30" xfId="0" applyNumberFormat="1" applyFont="1" applyFill="1" applyBorder="1" applyAlignment="1">
      <alignment horizontal="center" vertical="center" wrapText="1"/>
    </xf>
    <xf numFmtId="165" fontId="70" fillId="0" borderId="30" xfId="0" applyNumberFormat="1" applyFont="1" applyFill="1" applyBorder="1" applyAlignment="1">
      <alignment horizontal="center" vertical="center" wrapText="1"/>
    </xf>
    <xf numFmtId="49" fontId="71" fillId="0" borderId="30" xfId="0" applyNumberFormat="1" applyFont="1" applyFill="1" applyBorder="1" applyAlignment="1">
      <alignment horizontal="center"/>
    </xf>
    <xf numFmtId="0" fontId="71" fillId="0" borderId="30" xfId="0" applyFont="1" applyFill="1" applyBorder="1" applyAlignment="1">
      <alignment horizontal="center"/>
    </xf>
    <xf numFmtId="165" fontId="64" fillId="0" borderId="30" xfId="0" applyNumberFormat="1" applyFont="1" applyFill="1" applyBorder="1" applyAlignment="1">
      <alignment horizontal="center" vertical="center" wrapText="1"/>
    </xf>
    <xf numFmtId="2" fontId="71" fillId="0" borderId="30" xfId="0" applyNumberFormat="1" applyFont="1" applyFill="1" applyBorder="1" applyAlignment="1">
      <alignment horizontal="center"/>
    </xf>
    <xf numFmtId="0" fontId="65" fillId="0" borderId="30" xfId="0" applyFont="1" applyFill="1" applyBorder="1" applyAlignment="1">
      <alignment horizontal="center" vertical="center" wrapText="1"/>
    </xf>
    <xf numFmtId="0" fontId="65" fillId="0" borderId="42" xfId="0" applyFont="1" applyFill="1" applyBorder="1" applyAlignment="1">
      <alignment horizontal="center" vertical="center" wrapText="1"/>
    </xf>
    <xf numFmtId="0" fontId="65" fillId="0" borderId="58" xfId="0" applyFont="1" applyFill="1" applyBorder="1" applyAlignment="1">
      <alignment horizontal="center" vertical="center" wrapText="1"/>
    </xf>
    <xf numFmtId="0" fontId="65" fillId="0" borderId="56" xfId="0" applyFont="1" applyFill="1" applyBorder="1" applyAlignment="1">
      <alignment horizontal="center" vertical="center" wrapText="1"/>
    </xf>
    <xf numFmtId="0" fontId="65" fillId="0" borderId="59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5" fillId="0" borderId="60" xfId="0" applyFont="1" applyFill="1" applyBorder="1" applyAlignment="1">
      <alignment horizontal="center" vertical="center" wrapText="1"/>
    </xf>
    <xf numFmtId="0" fontId="65" fillId="0" borderId="43" xfId="0" applyFont="1" applyFill="1" applyBorder="1" applyAlignment="1">
      <alignment horizontal="center" vertical="center" wrapText="1"/>
    </xf>
    <xf numFmtId="0" fontId="65" fillId="0" borderId="18" xfId="0" applyFont="1" applyFill="1" applyBorder="1" applyAlignment="1">
      <alignment horizontal="center" vertical="center" wrapText="1"/>
    </xf>
    <xf numFmtId="0" fontId="65" fillId="0" borderId="52" xfId="0" applyFont="1" applyFill="1" applyBorder="1" applyAlignment="1">
      <alignment horizontal="center" vertical="center" wrapText="1"/>
    </xf>
    <xf numFmtId="1" fontId="64" fillId="0" borderId="42" xfId="0" applyNumberFormat="1" applyFont="1" applyFill="1" applyBorder="1" applyAlignment="1">
      <alignment horizontal="center" vertical="center" wrapText="1"/>
    </xf>
    <xf numFmtId="1" fontId="64" fillId="0" borderId="58" xfId="0" applyNumberFormat="1" applyFont="1" applyFill="1" applyBorder="1" applyAlignment="1">
      <alignment horizontal="center" vertical="center" wrapText="1"/>
    </xf>
    <xf numFmtId="1" fontId="64" fillId="0" borderId="56" xfId="0" applyNumberFormat="1" applyFont="1" applyFill="1" applyBorder="1" applyAlignment="1">
      <alignment horizontal="center" vertical="center" wrapText="1"/>
    </xf>
    <xf numFmtId="1" fontId="64" fillId="0" borderId="59" xfId="0" applyNumberFormat="1" applyFont="1" applyFill="1" applyBorder="1" applyAlignment="1">
      <alignment horizontal="center" vertical="center" wrapText="1"/>
    </xf>
    <xf numFmtId="1" fontId="64" fillId="0" borderId="0" xfId="0" applyNumberFormat="1" applyFont="1" applyFill="1" applyBorder="1" applyAlignment="1">
      <alignment horizontal="center" vertical="center" wrapText="1"/>
    </xf>
    <xf numFmtId="1" fontId="64" fillId="0" borderId="60" xfId="0" applyNumberFormat="1" applyFont="1" applyFill="1" applyBorder="1" applyAlignment="1">
      <alignment horizontal="center" vertical="center" wrapText="1"/>
    </xf>
    <xf numFmtId="1" fontId="64" fillId="0" borderId="43" xfId="0" applyNumberFormat="1" applyFont="1" applyFill="1" applyBorder="1" applyAlignment="1">
      <alignment horizontal="center" vertical="center" wrapText="1"/>
    </xf>
    <xf numFmtId="1" fontId="64" fillId="0" borderId="18" xfId="0" applyNumberFormat="1" applyFont="1" applyFill="1" applyBorder="1" applyAlignment="1">
      <alignment horizontal="center" vertical="center" wrapText="1"/>
    </xf>
    <xf numFmtId="1" fontId="64" fillId="0" borderId="52" xfId="0" applyNumberFormat="1" applyFont="1" applyFill="1" applyBorder="1" applyAlignment="1">
      <alignment horizontal="center" vertical="center" wrapText="1"/>
    </xf>
    <xf numFmtId="49" fontId="68" fillId="0" borderId="41" xfId="0" applyNumberFormat="1" applyFont="1" applyFill="1" applyBorder="1" applyAlignment="1">
      <alignment horizontal="left"/>
    </xf>
    <xf numFmtId="0" fontId="68" fillId="0" borderId="51" xfId="0" applyFont="1" applyFill="1" applyBorder="1" applyAlignment="1">
      <alignment horizontal="left"/>
    </xf>
    <xf numFmtId="0" fontId="68" fillId="0" borderId="55" xfId="0" applyFont="1" applyFill="1" applyBorder="1" applyAlignment="1">
      <alignment horizontal="left"/>
    </xf>
    <xf numFmtId="0" fontId="63" fillId="0" borderId="30" xfId="0" applyFont="1" applyFill="1" applyBorder="1" applyAlignment="1">
      <alignment horizontal="center"/>
    </xf>
    <xf numFmtId="0" fontId="63" fillId="0" borderId="51" xfId="0" applyFont="1" applyFill="1" applyBorder="1" applyAlignment="1">
      <alignment horizontal="center"/>
    </xf>
    <xf numFmtId="49" fontId="64" fillId="0" borderId="42" xfId="0" applyNumberFormat="1" applyFont="1" applyFill="1" applyBorder="1" applyAlignment="1">
      <alignment horizontal="center" vertical="center" wrapText="1"/>
    </xf>
    <xf numFmtId="49" fontId="64" fillId="0" borderId="58" xfId="0" applyNumberFormat="1" applyFont="1" applyFill="1" applyBorder="1" applyAlignment="1">
      <alignment horizontal="center" vertical="center" wrapText="1"/>
    </xf>
    <xf numFmtId="49" fontId="64" fillId="0" borderId="56" xfId="0" applyNumberFormat="1" applyFont="1" applyFill="1" applyBorder="1" applyAlignment="1">
      <alignment horizontal="center" vertical="center" wrapText="1"/>
    </xf>
    <xf numFmtId="49" fontId="64" fillId="0" borderId="59" xfId="0" applyNumberFormat="1" applyFont="1" applyFill="1" applyBorder="1" applyAlignment="1">
      <alignment horizontal="center" vertical="center" wrapText="1"/>
    </xf>
    <xf numFmtId="49" fontId="64" fillId="0" borderId="0" xfId="0" applyNumberFormat="1" applyFont="1" applyFill="1" applyBorder="1" applyAlignment="1">
      <alignment horizontal="center" vertical="center" wrapText="1"/>
    </xf>
    <xf numFmtId="49" fontId="64" fillId="0" borderId="60" xfId="0" applyNumberFormat="1" applyFont="1" applyFill="1" applyBorder="1" applyAlignment="1">
      <alignment horizontal="center" vertical="center" wrapText="1"/>
    </xf>
    <xf numFmtId="49" fontId="64" fillId="0" borderId="43" xfId="0" applyNumberFormat="1" applyFont="1" applyFill="1" applyBorder="1" applyAlignment="1">
      <alignment horizontal="center" vertical="center" wrapText="1"/>
    </xf>
    <xf numFmtId="49" fontId="64" fillId="0" borderId="18" xfId="0" applyNumberFormat="1" applyFont="1" applyFill="1" applyBorder="1" applyAlignment="1">
      <alignment horizontal="center" vertical="center" wrapText="1"/>
    </xf>
    <xf numFmtId="49" fontId="64" fillId="0" borderId="52" xfId="0" applyNumberFormat="1" applyFont="1" applyFill="1" applyBorder="1" applyAlignment="1">
      <alignment horizontal="center" vertical="center" wrapText="1"/>
    </xf>
    <xf numFmtId="49" fontId="64" fillId="0" borderId="51" xfId="0" applyNumberFormat="1" applyFont="1" applyFill="1" applyBorder="1" applyAlignment="1">
      <alignment horizontal="center" vertical="center"/>
    </xf>
    <xf numFmtId="49" fontId="64" fillId="0" borderId="55" xfId="0" applyNumberFormat="1" applyFont="1" applyFill="1" applyBorder="1" applyAlignment="1">
      <alignment horizontal="center" vertical="center"/>
    </xf>
    <xf numFmtId="49" fontId="64" fillId="0" borderId="41" xfId="0" applyNumberFormat="1" applyFont="1" applyFill="1" applyBorder="1" applyAlignment="1">
      <alignment vertical="center" wrapText="1"/>
    </xf>
    <xf numFmtId="0" fontId="64" fillId="0" borderId="51" xfId="0" applyFont="1" applyFill="1" applyBorder="1" applyAlignment="1">
      <alignment vertical="center" wrapText="1"/>
    </xf>
    <xf numFmtId="0" fontId="64" fillId="0" borderId="55" xfId="0" applyFont="1" applyFill="1" applyBorder="1" applyAlignment="1">
      <alignment vertical="center" wrapText="1"/>
    </xf>
    <xf numFmtId="0" fontId="61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right" vertical="center"/>
    </xf>
    <xf numFmtId="0" fontId="61" fillId="0" borderId="0" xfId="0" applyFont="1" applyFill="1" applyBorder="1" applyAlignment="1">
      <alignment horizontal="left" vertical="center"/>
    </xf>
    <xf numFmtId="14" fontId="62" fillId="0" borderId="0" xfId="0" applyNumberFormat="1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/>
    </xf>
    <xf numFmtId="49" fontId="62" fillId="0" borderId="0" xfId="0" applyNumberFormat="1" applyFont="1" applyFill="1" applyBorder="1" applyAlignment="1">
      <alignment horizontal="center"/>
    </xf>
  </cellXfs>
  <cellStyles count="6">
    <cellStyle name="Обычный" xfId="0" builtinId="0"/>
    <cellStyle name="Обычный 2" xfId="3"/>
    <cellStyle name="Обычный_Сравнительный1" xfId="1"/>
    <cellStyle name="Процентный" xfId="2" builtinId="5"/>
    <cellStyle name="Процентный 2" xfId="5"/>
    <cellStyle name="Финансовый" xfId="4" builtinId="3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4A1B1A"/>
      <color rgb="FF441918"/>
      <color rgb="FFF69748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1" u="none" strike="noStrike" baseline="0">
                <a:solidFill>
                  <a:schemeClr val="accent2">
                    <a:lumMod val="50000"/>
                  </a:schemeClr>
                </a:solidFill>
                <a:latin typeface="Arial Cyr"/>
                <a:ea typeface="Arial Cyr"/>
                <a:cs typeface="Arial Cyr"/>
              </a:defRPr>
            </a:pPr>
            <a:r>
              <a:rPr lang="ru-RU" sz="1400" i="1">
                <a:solidFill>
                  <a:schemeClr val="accent2">
                    <a:lumMod val="50000"/>
                  </a:schemeClr>
                </a:solidFill>
              </a:rPr>
              <a:t>Линейная аппроксимация</a:t>
            </a:r>
          </a:p>
        </c:rich>
      </c:tx>
      <c:layout>
        <c:manualLayout>
          <c:xMode val="edge"/>
          <c:yMode val="edge"/>
          <c:x val="1.086958444715343E-2"/>
          <c:y val="2.53164948150940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01488375878156"/>
          <c:y val="0.18038002555754543"/>
          <c:w val="0.73188535277498989"/>
          <c:h val="0.6360769322292465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0.14912857342240571"/>
                  <c:y val="-0.189873725509163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chemeClr val="accent2">
                          <a:lumMod val="50000"/>
                        </a:schemeClr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6159920"/>
        <c:axId val="-346151760"/>
      </c:scatterChart>
      <c:valAx>
        <c:axId val="-346159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4492867719776537"/>
              <c:y val="0.898735565935840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51760"/>
        <c:crosses val="autoZero"/>
        <c:crossBetween val="midCat"/>
      </c:valAx>
      <c:valAx>
        <c:axId val="-346151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 м
</a:t>
                </a:r>
              </a:p>
            </c:rich>
          </c:tx>
          <c:layout>
            <c:manualLayout>
              <c:xMode val="edge"/>
              <c:yMode val="edge"/>
              <c:x val="3.9855142972895614E-2"/>
              <c:y val="0.35759548926320778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599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chemeClr val="tx1"/>
                </a:solidFill>
                <a:latin typeface="Arial Cyr"/>
                <a:ea typeface="Arial Cyr"/>
                <a:cs typeface="Arial Cyr"/>
              </a:defRPr>
            </a:pPr>
            <a:r>
              <a:rPr lang="ru-RU" b="0" i="0">
                <a:solidFill>
                  <a:schemeClr val="tx1"/>
                </a:solidFill>
              </a:rPr>
              <a:t>Экспоненциальная аппроксимация</a:t>
            </a:r>
          </a:p>
        </c:rich>
      </c:tx>
      <c:layout>
        <c:manualLayout>
          <c:xMode val="edge"/>
          <c:yMode val="edge"/>
          <c:x val="9.0909171616807196E-3"/>
          <c:y val="4.7318611987383012E-2"/>
        </c:manualLayout>
      </c:layout>
      <c:overlay val="0"/>
      <c:spPr>
        <a:solidFill>
          <a:schemeClr val="accent5">
            <a:lumMod val="20000"/>
            <a:lumOff val="80000"/>
          </a:schemeClr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272746158333247"/>
          <c:y val="0.21766561514195584"/>
          <c:w val="0.73454610666381148"/>
          <c:h val="0.6340694006309206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chemeClr val="accent1">
                    <a:lumMod val="50000"/>
                  </a:schemeClr>
                </a:solidFill>
                <a:prstDash val="solid"/>
              </a:ln>
            </c:spPr>
            <c:trendlineType val="exp"/>
            <c:dispRSqr val="1"/>
            <c:dispEq val="1"/>
            <c:trendlineLbl>
              <c:layout>
                <c:manualLayout>
                  <c:x val="8.2759341000577025E-2"/>
                  <c:y val="-0.22712933753943473"/>
                </c:manualLayout>
              </c:layout>
              <c:numFmt formatCode="General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chemeClr val="tx1"/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6166448"/>
        <c:axId val="-346153936"/>
      </c:scatterChart>
      <c:valAx>
        <c:axId val="-346166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2606847675233812"/>
              <c:y val="0.915878023133552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53936"/>
        <c:crosses val="autoZero"/>
        <c:crossBetween val="midCat"/>
      </c:valAx>
      <c:valAx>
        <c:axId val="-34615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 руб./кв. м</a:t>
                </a:r>
              </a:p>
            </c:rich>
          </c:tx>
          <c:layout>
            <c:manualLayout>
              <c:xMode val="edge"/>
              <c:yMode val="edge"/>
              <c:x val="2.3636384620370012E-2"/>
              <c:y val="0.41324921135646686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664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/>
              <a:t>Степенная аппроксимация</a:t>
            </a:r>
          </a:p>
        </c:rich>
      </c:tx>
      <c:layout>
        <c:manualLayout>
          <c:xMode val="edge"/>
          <c:yMode val="edge"/>
          <c:x val="4.5372050816697033E-2"/>
          <c:y val="4.6583921571600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19419237749956"/>
          <c:y val="0.22670841831512598"/>
          <c:w val="0.68239564428313093"/>
          <c:h val="0.6180133595165766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00FF"/>
                </a:solidFill>
                <a:prstDash val="solid"/>
              </a:ln>
            </c:spPr>
            <c:trendlineType val="power"/>
            <c:dispRSqr val="1"/>
            <c:dispEq val="1"/>
            <c:trendlineLbl>
              <c:layout>
                <c:manualLayout>
                  <c:x val="-3.054387208483245E-2"/>
                  <c:y val="-0.2830863297896336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6166992"/>
        <c:axId val="-346164272"/>
      </c:scatterChart>
      <c:valAx>
        <c:axId val="-346166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4246823956443588"/>
              <c:y val="0.900622483717610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64272"/>
        <c:crosses val="autoZero"/>
        <c:crossBetween val="midCat"/>
      </c:valAx>
      <c:valAx>
        <c:axId val="-346164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руб./кв.м</a:t>
                </a:r>
              </a:p>
            </c:rich>
          </c:tx>
          <c:layout>
            <c:manualLayout>
              <c:xMode val="edge"/>
              <c:yMode val="edge"/>
              <c:x val="4.9001814882032833E-2"/>
              <c:y val="0.40683291505865354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669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/>
              <a:t>Логарифмическая аппроксимация</a:t>
            </a:r>
          </a:p>
        </c:rich>
      </c:tx>
      <c:layout>
        <c:manualLayout>
          <c:xMode val="edge"/>
          <c:yMode val="edge"/>
          <c:x val="3.9783036935462944E-2"/>
          <c:y val="6.15385539942218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795678398083117"/>
          <c:y val="0.20307722818093191"/>
          <c:w val="0.7106697052562243"/>
          <c:h val="0.6215393953416394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00FF"/>
                </a:solidFill>
                <a:prstDash val="solid"/>
              </a:ln>
            </c:spPr>
            <c:trendlineType val="log"/>
            <c:dispRSqr val="1"/>
            <c:dispEq val="1"/>
            <c:trendlineLbl>
              <c:layout>
                <c:manualLayout>
                  <c:x val="0.1691314782125786"/>
                  <c:y val="-0.20307716535433071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6163728"/>
        <c:axId val="-346161008"/>
      </c:scatterChart>
      <c:valAx>
        <c:axId val="-34616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3472027110671358"/>
              <c:y val="0.9015398160153486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61008"/>
        <c:crosses val="autoZero"/>
        <c:crossBetween val="midCat"/>
      </c:valAx>
      <c:valAx>
        <c:axId val="-346161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 м</a:t>
                </a:r>
              </a:p>
            </c:rich>
          </c:tx>
          <c:layout>
            <c:manualLayout>
              <c:xMode val="edge"/>
              <c:yMode val="edge"/>
              <c:x val="2.5316478049840038E-2"/>
              <c:y val="0.41846216716071488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6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1" i="1" u="none" strike="noStrike" baseline="0">
                <a:solidFill>
                  <a:schemeClr val="accent2">
                    <a:lumMod val="50000"/>
                  </a:schemeClr>
                </a:solidFill>
                <a:latin typeface="Arial Cyr"/>
                <a:ea typeface="Arial Cyr"/>
                <a:cs typeface="Arial Cyr"/>
              </a:defRPr>
            </a:pPr>
            <a:r>
              <a:rPr lang="ru-RU" sz="1400" i="1">
                <a:solidFill>
                  <a:schemeClr val="accent2">
                    <a:lumMod val="50000"/>
                  </a:schemeClr>
                </a:solidFill>
              </a:rPr>
              <a:t>Линейная аппроксимация</a:t>
            </a:r>
          </a:p>
        </c:rich>
      </c:tx>
      <c:layout>
        <c:manualLayout>
          <c:xMode val="edge"/>
          <c:yMode val="edge"/>
          <c:x val="1.0869584447153439E-2"/>
          <c:y val="2.53164948150940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01488375878156"/>
          <c:y val="0.18038002555754543"/>
          <c:w val="0.73188535277499012"/>
          <c:h val="0.636076932229246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0.14912857342240571"/>
                  <c:y val="-0.189873725509163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chemeClr val="accent2">
                          <a:lumMod val="50000"/>
                        </a:schemeClr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6158832"/>
        <c:axId val="-346156656"/>
      </c:scatterChart>
      <c:valAx>
        <c:axId val="-346158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4492867719776581"/>
              <c:y val="0.898735565935840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56656"/>
        <c:crosses val="autoZero"/>
        <c:crossBetween val="midCat"/>
      </c:valAx>
      <c:valAx>
        <c:axId val="-346156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 м
</a:t>
                </a:r>
              </a:p>
            </c:rich>
          </c:tx>
          <c:layout>
            <c:manualLayout>
              <c:xMode val="edge"/>
              <c:yMode val="edge"/>
              <c:x val="3.9855142972895628E-2"/>
              <c:y val="0.35759548926320789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34615883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66" r="0.75000000000000766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26</xdr:row>
      <xdr:rowOff>38100</xdr:rowOff>
    </xdr:from>
    <xdr:to>
      <xdr:col>12</xdr:col>
      <xdr:colOff>333375</xdr:colOff>
      <xdr:row>42</xdr:row>
      <xdr:rowOff>0</xdr:rowOff>
    </xdr:to>
    <xdr:graphicFrame macro="">
      <xdr:nvGraphicFramePr>
        <xdr:cNvPr id="1946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26</xdr:row>
      <xdr:rowOff>38100</xdr:rowOff>
    </xdr:from>
    <xdr:to>
      <xdr:col>6</xdr:col>
      <xdr:colOff>123825</xdr:colOff>
      <xdr:row>42</xdr:row>
      <xdr:rowOff>9525</xdr:rowOff>
    </xdr:to>
    <xdr:graphicFrame macro="">
      <xdr:nvGraphicFramePr>
        <xdr:cNvPr id="1946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330199</xdr:colOff>
      <xdr:row>43</xdr:row>
      <xdr:rowOff>139699</xdr:rowOff>
    </xdr:from>
    <xdr:to>
      <xdr:col>6</xdr:col>
      <xdr:colOff>123824</xdr:colOff>
      <xdr:row>58</xdr:row>
      <xdr:rowOff>180974</xdr:rowOff>
    </xdr:to>
    <xdr:graphicFrame macro="">
      <xdr:nvGraphicFramePr>
        <xdr:cNvPr id="1946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292100</xdr:colOff>
      <xdr:row>44</xdr:row>
      <xdr:rowOff>0</xdr:rowOff>
    </xdr:from>
    <xdr:to>
      <xdr:col>12</xdr:col>
      <xdr:colOff>342900</xdr:colOff>
      <xdr:row>59</xdr:row>
      <xdr:rowOff>0</xdr:rowOff>
    </xdr:to>
    <xdr:graphicFrame macro="">
      <xdr:nvGraphicFramePr>
        <xdr:cNvPr id="1946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400050</xdr:colOff>
      <xdr:row>19</xdr:row>
      <xdr:rowOff>114300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85725</xdr:rowOff>
    </xdr:from>
    <xdr:to>
      <xdr:col>0</xdr:col>
      <xdr:colOff>523875</xdr:colOff>
      <xdr:row>2</xdr:row>
      <xdr:rowOff>9525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85725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76200</xdr:rowOff>
    </xdr:from>
    <xdr:to>
      <xdr:col>2</xdr:col>
      <xdr:colOff>161925</xdr:colOff>
      <xdr:row>1</xdr:row>
      <xdr:rowOff>161925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29</xdr:col>
      <xdr:colOff>0</xdr:colOff>
      <xdr:row>132</xdr:row>
      <xdr:rowOff>0</xdr:rowOff>
    </xdr:from>
    <xdr:to>
      <xdr:col>30</xdr:col>
      <xdr:colOff>152400</xdr:colOff>
      <xdr:row>137</xdr:row>
      <xdr:rowOff>38100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20964525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29</xdr:col>
      <xdr:colOff>0</xdr:colOff>
      <xdr:row>202</xdr:row>
      <xdr:rowOff>57150</xdr:rowOff>
    </xdr:from>
    <xdr:to>
      <xdr:col>30</xdr:col>
      <xdr:colOff>152400</xdr:colOff>
      <xdr:row>204</xdr:row>
      <xdr:rowOff>28575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27632025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</sheetPr>
  <dimension ref="A2:E60"/>
  <sheetViews>
    <sheetView workbookViewId="0">
      <selection activeCell="D8" sqref="D8"/>
    </sheetView>
  </sheetViews>
  <sheetFormatPr defaultRowHeight="15.75" x14ac:dyDescent="0.25"/>
  <cols>
    <col min="1" max="1" width="33.5703125" style="222" customWidth="1"/>
    <col min="2" max="2" width="61.140625" style="263" customWidth="1"/>
    <col min="3" max="3" width="20.42578125" style="220" customWidth="1"/>
    <col min="4" max="4" width="13.140625" style="220" customWidth="1"/>
    <col min="5" max="16384" width="9.140625" style="220"/>
  </cols>
  <sheetData>
    <row r="2" spans="1:4" s="261" customFormat="1" ht="5.25" customHeight="1" x14ac:dyDescent="0.25">
      <c r="A2" s="264"/>
      <c r="B2" s="262"/>
    </row>
    <row r="3" spans="1:4" ht="19.5" customHeight="1" x14ac:dyDescent="0.25">
      <c r="A3" s="270" t="s">
        <v>60</v>
      </c>
      <c r="B3" s="271" t="s">
        <v>264</v>
      </c>
      <c r="C3" s="458" t="s">
        <v>272</v>
      </c>
      <c r="D3" s="276" t="s">
        <v>136</v>
      </c>
    </row>
    <row r="4" spans="1:4" x14ac:dyDescent="0.25">
      <c r="A4" s="270" t="s">
        <v>59</v>
      </c>
      <c r="B4" s="272">
        <v>43007</v>
      </c>
      <c r="C4" s="459">
        <v>2</v>
      </c>
      <c r="D4" s="220" t="s">
        <v>425</v>
      </c>
    </row>
    <row r="5" spans="1:4" x14ac:dyDescent="0.25">
      <c r="A5" s="270" t="s">
        <v>61</v>
      </c>
      <c r="B5" s="272">
        <v>43007</v>
      </c>
    </row>
    <row r="6" spans="1:4" x14ac:dyDescent="0.25">
      <c r="A6" s="270" t="s">
        <v>66</v>
      </c>
      <c r="B6" s="272">
        <v>43008</v>
      </c>
    </row>
    <row r="7" spans="1:4" ht="29.25" customHeight="1" x14ac:dyDescent="0.25">
      <c r="A7" s="270" t="s">
        <v>116</v>
      </c>
      <c r="B7" s="273">
        <f>EDATE(B6,6)</f>
        <v>43189</v>
      </c>
    </row>
    <row r="8" spans="1:4" x14ac:dyDescent="0.25">
      <c r="A8" s="270" t="s">
        <v>62</v>
      </c>
      <c r="B8" s="274" t="s">
        <v>241</v>
      </c>
    </row>
    <row r="9" spans="1:4" ht="31.5" x14ac:dyDescent="0.25">
      <c r="A9" s="270" t="s">
        <v>159</v>
      </c>
      <c r="B9" s="271" t="s">
        <v>242</v>
      </c>
      <c r="C9" s="460" t="str">
        <f>B9</f>
        <v xml:space="preserve">Шичкина Ю.А. </v>
      </c>
      <c r="D9" s="220" t="str">
        <f>MID(C9,1,LEN(C9)-5)</f>
        <v xml:space="preserve">Шичкина </v>
      </c>
    </row>
    <row r="10" spans="1:4" ht="31.5" x14ac:dyDescent="0.25">
      <c r="A10" s="270" t="s">
        <v>65</v>
      </c>
      <c r="B10" s="271" t="s">
        <v>243</v>
      </c>
      <c r="C10" s="461" t="str">
        <f>B10</f>
        <v>Юлия Александровна</v>
      </c>
      <c r="D10" s="220" t="str">
        <f>CONCATENATE(D9," ",C10)</f>
        <v>Шичкина  Юлия Александровна</v>
      </c>
    </row>
    <row r="11" spans="1:4" ht="60" x14ac:dyDescent="0.25">
      <c r="A11" s="270" t="s">
        <v>119</v>
      </c>
      <c r="B11" s="275" t="s">
        <v>244</v>
      </c>
      <c r="C11" s="462">
        <v>4500</v>
      </c>
    </row>
    <row r="12" spans="1:4" ht="30" x14ac:dyDescent="0.25">
      <c r="A12" s="270" t="s">
        <v>63</v>
      </c>
      <c r="B12" s="275" t="s">
        <v>157</v>
      </c>
    </row>
    <row r="13" spans="1:4" ht="30" x14ac:dyDescent="0.25">
      <c r="A13" s="270" t="s">
        <v>64</v>
      </c>
      <c r="B13" s="275" t="s">
        <v>158</v>
      </c>
    </row>
    <row r="14" spans="1:4" ht="90" x14ac:dyDescent="0.25">
      <c r="A14" s="270" t="s">
        <v>118</v>
      </c>
      <c r="B14" s="275" t="s">
        <v>245</v>
      </c>
    </row>
    <row r="15" spans="1:4" s="261" customFormat="1" ht="6.75" customHeight="1" x14ac:dyDescent="0.25">
      <c r="A15" s="264"/>
      <c r="B15" s="262"/>
    </row>
    <row r="16" spans="1:4" ht="31.5" x14ac:dyDescent="0.25">
      <c r="A16" s="270" t="s">
        <v>122</v>
      </c>
      <c r="B16" s="271" t="s">
        <v>246</v>
      </c>
    </row>
    <row r="17" spans="1:2" ht="31.5" x14ac:dyDescent="0.25">
      <c r="A17" s="270" t="s">
        <v>123</v>
      </c>
      <c r="B17" s="271" t="s">
        <v>247</v>
      </c>
    </row>
    <row r="18" spans="1:2" ht="21.75" customHeight="1" x14ac:dyDescent="0.25">
      <c r="A18" s="270" t="s">
        <v>124</v>
      </c>
      <c r="B18" s="271" t="s">
        <v>248</v>
      </c>
    </row>
    <row r="19" spans="1:2" ht="31.5" x14ac:dyDescent="0.25">
      <c r="A19" s="270" t="s">
        <v>125</v>
      </c>
      <c r="B19" s="271" t="s">
        <v>249</v>
      </c>
    </row>
    <row r="20" spans="1:2" ht="31.5" x14ac:dyDescent="0.25">
      <c r="A20" s="270" t="s">
        <v>126</v>
      </c>
      <c r="B20" s="271" t="s">
        <v>171</v>
      </c>
    </row>
    <row r="21" spans="1:2" x14ac:dyDescent="0.25">
      <c r="A21" s="270" t="s">
        <v>127</v>
      </c>
      <c r="B21" s="271" t="s">
        <v>250</v>
      </c>
    </row>
    <row r="22" spans="1:2" ht="31.5" x14ac:dyDescent="0.25">
      <c r="A22" s="270" t="s">
        <v>128</v>
      </c>
      <c r="B22" s="271" t="s">
        <v>251</v>
      </c>
    </row>
    <row r="23" spans="1:2" x14ac:dyDescent="0.25">
      <c r="A23" s="270" t="s">
        <v>129</v>
      </c>
      <c r="B23" s="271" t="s">
        <v>252</v>
      </c>
    </row>
    <row r="24" spans="1:2" x14ac:dyDescent="0.25">
      <c r="A24" s="270" t="s">
        <v>130</v>
      </c>
      <c r="B24" s="271" t="s">
        <v>253</v>
      </c>
    </row>
    <row r="25" spans="1:2" x14ac:dyDescent="0.25">
      <c r="A25" s="270" t="s">
        <v>131</v>
      </c>
      <c r="B25" s="271" t="s">
        <v>254</v>
      </c>
    </row>
    <row r="26" spans="1:2" x14ac:dyDescent="0.25">
      <c r="A26" s="270" t="s">
        <v>48</v>
      </c>
      <c r="B26" s="271" t="s">
        <v>49</v>
      </c>
    </row>
    <row r="27" spans="1:2" ht="45" x14ac:dyDescent="0.25">
      <c r="A27" s="270" t="s">
        <v>132</v>
      </c>
      <c r="B27" s="275" t="s">
        <v>255</v>
      </c>
    </row>
    <row r="28" spans="1:2" ht="18" customHeight="1" x14ac:dyDescent="0.25">
      <c r="A28" s="270" t="s">
        <v>137</v>
      </c>
      <c r="B28" s="275" t="s">
        <v>256</v>
      </c>
    </row>
    <row r="29" spans="1:2" ht="31.5" x14ac:dyDescent="0.25">
      <c r="A29" s="270" t="s">
        <v>149</v>
      </c>
      <c r="B29" s="275" t="s">
        <v>173</v>
      </c>
    </row>
    <row r="30" spans="1:2" ht="31.5" x14ac:dyDescent="0.25">
      <c r="A30" s="270" t="s">
        <v>138</v>
      </c>
      <c r="B30" s="275" t="s">
        <v>195</v>
      </c>
    </row>
    <row r="31" spans="1:2" x14ac:dyDescent="0.25">
      <c r="A31" s="270" t="s">
        <v>139</v>
      </c>
      <c r="B31" s="275" t="s">
        <v>257</v>
      </c>
    </row>
    <row r="32" spans="1:2" ht="31.5" x14ac:dyDescent="0.25">
      <c r="A32" s="270" t="s">
        <v>140</v>
      </c>
      <c r="B32" s="275" t="s">
        <v>172</v>
      </c>
    </row>
    <row r="33" spans="1:5" ht="63" x14ac:dyDescent="0.25">
      <c r="A33" s="270" t="s">
        <v>141</v>
      </c>
      <c r="B33" s="275" t="s">
        <v>258</v>
      </c>
    </row>
    <row r="34" spans="1:5" ht="99" customHeight="1" x14ac:dyDescent="0.25">
      <c r="A34" s="270" t="s">
        <v>142</v>
      </c>
      <c r="B34" s="275" t="s">
        <v>259</v>
      </c>
      <c r="C34" s="282"/>
      <c r="D34" s="282"/>
      <c r="E34" s="282"/>
    </row>
    <row r="35" spans="1:5" ht="63" x14ac:dyDescent="0.25">
      <c r="A35" s="270" t="s">
        <v>147</v>
      </c>
      <c r="B35" s="275" t="s">
        <v>174</v>
      </c>
    </row>
    <row r="36" spans="1:5" x14ac:dyDescent="0.25">
      <c r="A36" s="270" t="s">
        <v>143</v>
      </c>
      <c r="B36" s="275" t="s">
        <v>56</v>
      </c>
    </row>
    <row r="37" spans="1:5" ht="31.5" x14ac:dyDescent="0.25">
      <c r="A37" s="270" t="s">
        <v>144</v>
      </c>
      <c r="B37" s="275" t="s">
        <v>56</v>
      </c>
    </row>
    <row r="38" spans="1:5" ht="31.5" x14ac:dyDescent="0.25">
      <c r="A38" s="270" t="s">
        <v>145</v>
      </c>
      <c r="B38" s="275" t="s">
        <v>260</v>
      </c>
    </row>
    <row r="39" spans="1:5" x14ac:dyDescent="0.25">
      <c r="A39" s="270" t="s">
        <v>146</v>
      </c>
      <c r="B39" s="275" t="s">
        <v>175</v>
      </c>
    </row>
    <row r="40" spans="1:5" ht="63" x14ac:dyDescent="0.25">
      <c r="A40" s="270" t="s">
        <v>148</v>
      </c>
      <c r="B40" s="275" t="s">
        <v>261</v>
      </c>
    </row>
    <row r="41" spans="1:5" x14ac:dyDescent="0.25">
      <c r="A41" s="270" t="s">
        <v>150</v>
      </c>
      <c r="B41" s="275" t="s">
        <v>250</v>
      </c>
    </row>
    <row r="42" spans="1:5" ht="31.5" x14ac:dyDescent="0.25">
      <c r="A42" s="270" t="s">
        <v>151</v>
      </c>
      <c r="B42" s="275" t="s">
        <v>195</v>
      </c>
    </row>
    <row r="43" spans="1:5" ht="31.5" x14ac:dyDescent="0.25">
      <c r="A43" s="270" t="s">
        <v>152</v>
      </c>
      <c r="B43" s="275" t="s">
        <v>195</v>
      </c>
    </row>
    <row r="44" spans="1:5" x14ac:dyDescent="0.25">
      <c r="A44" s="270" t="s">
        <v>153</v>
      </c>
      <c r="B44" s="275" t="s">
        <v>262</v>
      </c>
    </row>
    <row r="45" spans="1:5" ht="31.5" x14ac:dyDescent="0.25">
      <c r="A45" s="270" t="s">
        <v>154</v>
      </c>
      <c r="B45" s="275" t="s">
        <v>262</v>
      </c>
    </row>
    <row r="46" spans="1:5" ht="31.5" x14ac:dyDescent="0.25">
      <c r="A46" s="270" t="s">
        <v>169</v>
      </c>
      <c r="B46" s="275" t="s">
        <v>263</v>
      </c>
    </row>
    <row r="47" spans="1:5" x14ac:dyDescent="0.25">
      <c r="B47" s="281"/>
    </row>
    <row r="48" spans="1:5" x14ac:dyDescent="0.25">
      <c r="B48" s="281"/>
    </row>
    <row r="49" spans="2:2" x14ac:dyDescent="0.25">
      <c r="B49" s="281"/>
    </row>
    <row r="50" spans="2:2" x14ac:dyDescent="0.25">
      <c r="B50" s="281"/>
    </row>
    <row r="51" spans="2:2" x14ac:dyDescent="0.25">
      <c r="B51" s="281"/>
    </row>
    <row r="52" spans="2:2" x14ac:dyDescent="0.25">
      <c r="B52" s="281"/>
    </row>
    <row r="53" spans="2:2" x14ac:dyDescent="0.25">
      <c r="B53" s="281"/>
    </row>
    <row r="54" spans="2:2" x14ac:dyDescent="0.25">
      <c r="B54" s="281"/>
    </row>
    <row r="55" spans="2:2" x14ac:dyDescent="0.25">
      <c r="B55" s="281"/>
    </row>
    <row r="56" spans="2:2" x14ac:dyDescent="0.25">
      <c r="B56" s="281"/>
    </row>
    <row r="57" spans="2:2" x14ac:dyDescent="0.25">
      <c r="B57" s="281"/>
    </row>
    <row r="58" spans="2:2" x14ac:dyDescent="0.25">
      <c r="B58" s="281"/>
    </row>
    <row r="59" spans="2:2" x14ac:dyDescent="0.25">
      <c r="B59" s="281"/>
    </row>
    <row r="60" spans="2:2" x14ac:dyDescent="0.25">
      <c r="B60" s="281"/>
    </row>
  </sheetData>
  <pageMargins left="0.7" right="0.7" top="0.75" bottom="0.75" header="0.3" footer="0.3"/>
  <pageSetup paperSize="768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</sheetPr>
  <dimension ref="A1:AG176"/>
  <sheetViews>
    <sheetView zoomScale="90" zoomScaleNormal="90" zoomScaleSheetLayoutView="9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J3" sqref="J3"/>
    </sheetView>
  </sheetViews>
  <sheetFormatPr defaultColWidth="7.85546875" defaultRowHeight="15.75" customHeight="1" x14ac:dyDescent="0.2"/>
  <cols>
    <col min="1" max="1" width="22.85546875" style="120" customWidth="1"/>
    <col min="2" max="2" width="13.28515625" style="24" bestFit="1" customWidth="1"/>
    <col min="3" max="5" width="13.7109375" style="21" customWidth="1"/>
    <col min="6" max="7" width="13.7109375" style="49" customWidth="1"/>
    <col min="8" max="8" width="8.85546875" style="21" customWidth="1"/>
    <col min="9" max="9" width="7.85546875" style="21"/>
    <col min="10" max="10" width="11.140625" style="21" bestFit="1" customWidth="1"/>
    <col min="11" max="11" width="10.28515625" style="21" customWidth="1"/>
    <col min="12" max="16384" width="7.85546875" style="21"/>
  </cols>
  <sheetData>
    <row r="1" spans="1:33" ht="19.5" customHeight="1" thickBot="1" x14ac:dyDescent="0.25">
      <c r="A1" s="117"/>
      <c r="B1" s="20"/>
      <c r="C1" s="47"/>
      <c r="D1" s="47"/>
      <c r="E1" s="48"/>
      <c r="F1" s="21"/>
      <c r="G1" s="21"/>
      <c r="H1" s="278"/>
    </row>
    <row r="2" spans="1:33" s="22" customFormat="1" ht="48.75" customHeight="1" thickBot="1" x14ac:dyDescent="0.25">
      <c r="A2" s="118" t="s">
        <v>0</v>
      </c>
      <c r="B2" s="50" t="s">
        <v>20</v>
      </c>
      <c r="C2" s="51" t="s">
        <v>45</v>
      </c>
      <c r="D2" s="51" t="s">
        <v>21</v>
      </c>
      <c r="E2" s="51" t="s">
        <v>13</v>
      </c>
      <c r="F2" s="51" t="s">
        <v>14</v>
      </c>
      <c r="G2" s="51" t="s">
        <v>15</v>
      </c>
      <c r="H2" s="25"/>
      <c r="I2" s="277"/>
    </row>
    <row r="3" spans="1:33" s="22" customFormat="1" ht="91.5" customHeight="1" x14ac:dyDescent="0.2">
      <c r="A3" s="162" t="s">
        <v>8</v>
      </c>
      <c r="B3" s="52" t="s">
        <v>190</v>
      </c>
      <c r="C3" s="312" t="s">
        <v>193</v>
      </c>
      <c r="D3" s="312" t="s">
        <v>198</v>
      </c>
      <c r="E3" s="312" t="s">
        <v>200</v>
      </c>
      <c r="F3" s="312" t="s">
        <v>203</v>
      </c>
      <c r="G3" s="312" t="s">
        <v>197</v>
      </c>
    </row>
    <row r="4" spans="1:33" s="166" customFormat="1" ht="25.5" customHeight="1" x14ac:dyDescent="0.2">
      <c r="A4" s="163" t="s">
        <v>27</v>
      </c>
      <c r="B4" s="164">
        <v>57.4</v>
      </c>
      <c r="C4" s="165">
        <v>71.2</v>
      </c>
      <c r="D4" s="165">
        <v>57</v>
      </c>
      <c r="E4" s="165">
        <v>60</v>
      </c>
      <c r="F4" s="165">
        <v>58</v>
      </c>
      <c r="G4" s="165">
        <v>71.8</v>
      </c>
    </row>
    <row r="5" spans="1:33" s="22" customFormat="1" ht="30" customHeight="1" x14ac:dyDescent="0.2">
      <c r="A5" s="167" t="s">
        <v>38</v>
      </c>
      <c r="B5" s="168"/>
      <c r="C5" s="169">
        <v>4950000</v>
      </c>
      <c r="D5" s="169">
        <v>4690000</v>
      </c>
      <c r="E5" s="169">
        <v>4930000</v>
      </c>
      <c r="F5" s="169">
        <v>4500000</v>
      </c>
      <c r="G5" s="169">
        <v>5600000</v>
      </c>
    </row>
    <row r="6" spans="1:33" s="22" customFormat="1" ht="24" x14ac:dyDescent="0.2">
      <c r="A6" s="167" t="s">
        <v>39</v>
      </c>
      <c r="B6" s="168"/>
      <c r="C6" s="165">
        <f>C5/C4</f>
        <v>69522.471910112363</v>
      </c>
      <c r="D6" s="165">
        <f t="shared" ref="D6:G6" si="0">D5/D4</f>
        <v>82280.701754385969</v>
      </c>
      <c r="E6" s="165">
        <f t="shared" si="0"/>
        <v>82166.666666666672</v>
      </c>
      <c r="F6" s="165">
        <f t="shared" si="0"/>
        <v>77586.206896551725</v>
      </c>
      <c r="G6" s="165">
        <f t="shared" si="0"/>
        <v>77994.428969359331</v>
      </c>
      <c r="AA6" s="170"/>
      <c r="AE6" s="171"/>
      <c r="AF6" s="171"/>
      <c r="AG6" s="171"/>
    </row>
    <row r="7" spans="1:33" s="22" customFormat="1" ht="20.100000000000001" customHeight="1" x14ac:dyDescent="0.2">
      <c r="A7" s="167" t="s">
        <v>40</v>
      </c>
      <c r="B7" s="172" t="s">
        <v>22</v>
      </c>
      <c r="C7" s="173" t="s">
        <v>22</v>
      </c>
      <c r="D7" s="173" t="s">
        <v>22</v>
      </c>
      <c r="E7" s="173" t="s">
        <v>22</v>
      </c>
      <c r="F7" s="173" t="s">
        <v>22</v>
      </c>
      <c r="G7" s="173" t="s">
        <v>22</v>
      </c>
    </row>
    <row r="8" spans="1:33" s="22" customFormat="1" ht="24" x14ac:dyDescent="0.2">
      <c r="A8" s="174" t="s">
        <v>2</v>
      </c>
      <c r="B8" s="175"/>
      <c r="C8" s="176"/>
      <c r="D8" s="176"/>
      <c r="E8" s="176"/>
      <c r="F8" s="176"/>
      <c r="G8" s="176"/>
    </row>
    <row r="9" spans="1:33" s="22" customFormat="1" ht="15.75" customHeight="1" x14ac:dyDescent="0.2">
      <c r="A9" s="167" t="s">
        <v>3</v>
      </c>
      <c r="B9" s="172" t="s">
        <v>23</v>
      </c>
      <c r="C9" s="173" t="s">
        <v>23</v>
      </c>
      <c r="D9" s="173" t="s">
        <v>23</v>
      </c>
      <c r="E9" s="173" t="s">
        <v>23</v>
      </c>
      <c r="F9" s="173" t="s">
        <v>23</v>
      </c>
      <c r="G9" s="173" t="s">
        <v>23</v>
      </c>
    </row>
    <row r="10" spans="1:33" s="22" customFormat="1" ht="20.25" customHeight="1" x14ac:dyDescent="0.2">
      <c r="A10" s="167" t="s">
        <v>7</v>
      </c>
      <c r="B10" s="172" t="s">
        <v>9</v>
      </c>
      <c r="C10" s="173" t="s">
        <v>9</v>
      </c>
      <c r="D10" s="173" t="s">
        <v>9</v>
      </c>
      <c r="E10" s="173" t="s">
        <v>9</v>
      </c>
      <c r="F10" s="173" t="s">
        <v>9</v>
      </c>
      <c r="G10" s="173" t="s">
        <v>9</v>
      </c>
    </row>
    <row r="11" spans="1:33" s="22" customFormat="1" ht="18" customHeight="1" thickBot="1" x14ac:dyDescent="0.25">
      <c r="A11" s="167" t="s">
        <v>11</v>
      </c>
      <c r="B11" s="177" t="s">
        <v>26</v>
      </c>
      <c r="C11" s="178" t="s">
        <v>26</v>
      </c>
      <c r="D11" s="178" t="s">
        <v>26</v>
      </c>
      <c r="E11" s="178" t="s">
        <v>26</v>
      </c>
      <c r="F11" s="178" t="s">
        <v>26</v>
      </c>
      <c r="G11" s="178" t="s">
        <v>26</v>
      </c>
    </row>
    <row r="12" spans="1:33" s="22" customFormat="1" ht="18" customHeight="1" thickBot="1" x14ac:dyDescent="0.25">
      <c r="A12" s="179" t="s">
        <v>12</v>
      </c>
      <c r="B12" s="180">
        <v>42801</v>
      </c>
      <c r="C12" s="181">
        <f>B12</f>
        <v>42801</v>
      </c>
      <c r="D12" s="181">
        <f t="shared" ref="D12:G12" si="1">C12</f>
        <v>42801</v>
      </c>
      <c r="E12" s="181">
        <f t="shared" si="1"/>
        <v>42801</v>
      </c>
      <c r="F12" s="181">
        <f t="shared" si="1"/>
        <v>42801</v>
      </c>
      <c r="G12" s="181">
        <f t="shared" si="1"/>
        <v>42801</v>
      </c>
    </row>
    <row r="13" spans="1:33" s="22" customFormat="1" ht="26.25" customHeight="1" x14ac:dyDescent="0.2">
      <c r="A13" s="174" t="s">
        <v>4</v>
      </c>
      <c r="B13" s="182"/>
      <c r="C13" s="183"/>
      <c r="D13" s="183"/>
      <c r="E13" s="183"/>
      <c r="F13" s="183"/>
      <c r="G13" s="183"/>
      <c r="H13" s="184"/>
    </row>
    <row r="14" spans="1:33" s="184" customFormat="1" ht="24" x14ac:dyDescent="0.2">
      <c r="A14" s="185" t="s">
        <v>24</v>
      </c>
      <c r="B14" s="177" t="s">
        <v>186</v>
      </c>
      <c r="C14" s="334" t="s">
        <v>186</v>
      </c>
      <c r="D14" s="334" t="s">
        <v>186</v>
      </c>
      <c r="E14" s="334" t="s">
        <v>186</v>
      </c>
      <c r="F14" s="334" t="s">
        <v>186</v>
      </c>
      <c r="G14" s="334" t="s">
        <v>186</v>
      </c>
    </row>
    <row r="15" spans="1:33" s="22" customFormat="1" ht="15.75" customHeight="1" x14ac:dyDescent="0.2">
      <c r="A15" s="167" t="s">
        <v>31</v>
      </c>
      <c r="B15" s="189" t="s">
        <v>191</v>
      </c>
      <c r="C15" s="190" t="s">
        <v>194</v>
      </c>
      <c r="D15" s="190" t="s">
        <v>191</v>
      </c>
      <c r="E15" s="190" t="s">
        <v>201</v>
      </c>
      <c r="F15" s="190" t="s">
        <v>189</v>
      </c>
      <c r="G15" s="190" t="s">
        <v>205</v>
      </c>
      <c r="H15" s="184"/>
    </row>
    <row r="16" spans="1:33" s="22" customFormat="1" ht="27.75" customHeight="1" x14ac:dyDescent="0.2">
      <c r="A16" s="167" t="s">
        <v>28</v>
      </c>
      <c r="B16" s="191" t="s">
        <v>192</v>
      </c>
      <c r="C16" s="192" t="s">
        <v>192</v>
      </c>
      <c r="D16" s="192" t="s">
        <v>192</v>
      </c>
      <c r="E16" s="192" t="s">
        <v>192</v>
      </c>
      <c r="F16" s="192" t="s">
        <v>192</v>
      </c>
      <c r="G16" s="192" t="s">
        <v>192</v>
      </c>
      <c r="H16" s="184"/>
    </row>
    <row r="17" spans="1:8" s="184" customFormat="1" ht="22.5" customHeight="1" x14ac:dyDescent="0.2">
      <c r="A17" s="185" t="s">
        <v>52</v>
      </c>
      <c r="B17" s="186" t="s">
        <v>56</v>
      </c>
      <c r="C17" s="187" t="s">
        <v>56</v>
      </c>
      <c r="D17" s="187" t="s">
        <v>56</v>
      </c>
      <c r="E17" s="187" t="s">
        <v>56</v>
      </c>
      <c r="F17" s="187" t="s">
        <v>56</v>
      </c>
      <c r="G17" s="187" t="s">
        <v>56</v>
      </c>
    </row>
    <row r="18" spans="1:8" s="22" customFormat="1" ht="19.5" customHeight="1" x14ac:dyDescent="0.2">
      <c r="A18" s="167" t="s">
        <v>27</v>
      </c>
      <c r="B18" s="193">
        <f>B4</f>
        <v>57.4</v>
      </c>
      <c r="C18" s="165">
        <f t="shared" ref="C18:G18" si="2">C4</f>
        <v>71.2</v>
      </c>
      <c r="D18" s="165">
        <f>D4</f>
        <v>57</v>
      </c>
      <c r="E18" s="165">
        <f t="shared" si="2"/>
        <v>60</v>
      </c>
      <c r="F18" s="165">
        <f t="shared" si="2"/>
        <v>58</v>
      </c>
      <c r="G18" s="165">
        <f t="shared" si="2"/>
        <v>71.8</v>
      </c>
    </row>
    <row r="19" spans="1:8" s="188" customFormat="1" ht="22.5" hidden="1" customHeight="1" x14ac:dyDescent="0.2">
      <c r="A19" s="194" t="s">
        <v>34</v>
      </c>
      <c r="B19" s="195" t="s">
        <v>51</v>
      </c>
      <c r="C19" s="196" t="s">
        <v>36</v>
      </c>
      <c r="D19" s="196" t="s">
        <v>35</v>
      </c>
      <c r="E19" s="196" t="s">
        <v>35</v>
      </c>
      <c r="F19" s="196" t="s">
        <v>53</v>
      </c>
      <c r="G19" s="196" t="s">
        <v>35</v>
      </c>
    </row>
    <row r="20" spans="1:8" s="184" customFormat="1" ht="21.75" hidden="1" customHeight="1" x14ac:dyDescent="0.2">
      <c r="A20" s="185" t="s">
        <v>32</v>
      </c>
      <c r="B20" s="186" t="s">
        <v>33</v>
      </c>
      <c r="C20" s="187" t="s">
        <v>33</v>
      </c>
      <c r="D20" s="187" t="s">
        <v>33</v>
      </c>
      <c r="E20" s="187" t="s">
        <v>33</v>
      </c>
      <c r="F20" s="187" t="s">
        <v>33</v>
      </c>
      <c r="G20" s="187" t="s">
        <v>33</v>
      </c>
    </row>
    <row r="21" spans="1:8" s="22" customFormat="1" ht="18.75" customHeight="1" x14ac:dyDescent="0.2">
      <c r="A21" s="167" t="s">
        <v>25</v>
      </c>
      <c r="B21" s="191" t="s">
        <v>187</v>
      </c>
      <c r="C21" s="192" t="s">
        <v>187</v>
      </c>
      <c r="D21" s="192" t="s">
        <v>187</v>
      </c>
      <c r="E21" s="192" t="s">
        <v>187</v>
      </c>
      <c r="F21" s="192" t="s">
        <v>187</v>
      </c>
      <c r="G21" s="192" t="s">
        <v>187</v>
      </c>
    </row>
    <row r="22" spans="1:8" s="22" customFormat="1" ht="15" customHeight="1" x14ac:dyDescent="0.2">
      <c r="A22" s="167" t="s">
        <v>46</v>
      </c>
      <c r="B22" s="191">
        <v>3</v>
      </c>
      <c r="C22" s="192">
        <v>3</v>
      </c>
      <c r="D22" s="192">
        <v>3</v>
      </c>
      <c r="E22" s="192">
        <v>3</v>
      </c>
      <c r="F22" s="192">
        <v>3</v>
      </c>
      <c r="G22" s="192">
        <v>3</v>
      </c>
    </row>
    <row r="23" spans="1:8" s="22" customFormat="1" ht="17.25" hidden="1" customHeight="1" x14ac:dyDescent="0.2">
      <c r="A23" s="167" t="s">
        <v>48</v>
      </c>
      <c r="B23" s="191" t="s">
        <v>49</v>
      </c>
      <c r="C23" s="192" t="s">
        <v>50</v>
      </c>
      <c r="D23" s="192" t="s">
        <v>50</v>
      </c>
      <c r="E23" s="192" t="s">
        <v>50</v>
      </c>
      <c r="F23" s="192" t="s">
        <v>49</v>
      </c>
      <c r="G23" s="192" t="s">
        <v>50</v>
      </c>
    </row>
    <row r="24" spans="1:8" s="184" customFormat="1" ht="25.5" customHeight="1" x14ac:dyDescent="0.2">
      <c r="A24" s="185" t="s">
        <v>47</v>
      </c>
      <c r="B24" s="186" t="s">
        <v>188</v>
      </c>
      <c r="C24" s="187" t="s">
        <v>195</v>
      </c>
      <c r="D24" s="187" t="s">
        <v>170</v>
      </c>
      <c r="E24" s="187" t="s">
        <v>170</v>
      </c>
      <c r="F24" s="187" t="s">
        <v>188</v>
      </c>
      <c r="G24" s="187" t="s">
        <v>170</v>
      </c>
    </row>
    <row r="25" spans="1:8" s="198" customFormat="1" ht="18.75" customHeight="1" thickBot="1" x14ac:dyDescent="0.25">
      <c r="A25" s="163" t="s">
        <v>37</v>
      </c>
      <c r="B25" s="310">
        <v>6.2</v>
      </c>
      <c r="C25" s="284">
        <v>12.6</v>
      </c>
      <c r="D25" s="284">
        <v>6</v>
      </c>
      <c r="E25" s="197">
        <v>6</v>
      </c>
      <c r="F25" s="197">
        <v>6.1</v>
      </c>
      <c r="G25" s="197">
        <v>10.7</v>
      </c>
    </row>
    <row r="26" spans="1:8" s="22" customFormat="1" ht="75.75" customHeight="1" thickBot="1" x14ac:dyDescent="0.25">
      <c r="A26" s="161" t="s">
        <v>57</v>
      </c>
      <c r="B26" s="199"/>
      <c r="C26" s="200" t="s">
        <v>196</v>
      </c>
      <c r="D26" s="200" t="s">
        <v>199</v>
      </c>
      <c r="E26" s="200" t="s">
        <v>202</v>
      </c>
      <c r="F26" s="201" t="s">
        <v>204</v>
      </c>
      <c r="G26" s="201" t="s">
        <v>206</v>
      </c>
    </row>
    <row r="27" spans="1:8" ht="28.5" customHeight="1" thickBot="1" x14ac:dyDescent="0.25">
      <c r="C27" s="55"/>
      <c r="D27" s="55"/>
      <c r="E27" s="55"/>
      <c r="F27" s="21"/>
      <c r="G27" s="21" t="s">
        <v>156</v>
      </c>
    </row>
    <row r="28" spans="1:8" s="23" customFormat="1" ht="39" customHeight="1" thickBot="1" x14ac:dyDescent="0.25">
      <c r="A28" s="44" t="s">
        <v>0</v>
      </c>
      <c r="B28" s="39" t="str">
        <f t="shared" ref="B28:G28" si="3">B2</f>
        <v>Объект оценки</v>
      </c>
      <c r="C28" s="56" t="str">
        <f t="shared" si="3"/>
        <v>Объект   сравнения №1</v>
      </c>
      <c r="D28" s="56" t="str">
        <f t="shared" si="3"/>
        <v>Объект сравнения №2</v>
      </c>
      <c r="E28" s="56" t="str">
        <f t="shared" si="3"/>
        <v>Объект сравнения №3</v>
      </c>
      <c r="F28" s="57" t="str">
        <f t="shared" si="3"/>
        <v>Объект сравнения №4</v>
      </c>
      <c r="G28" s="57" t="str">
        <f t="shared" si="3"/>
        <v>Объект сравнения №5</v>
      </c>
      <c r="H28" s="21"/>
    </row>
    <row r="29" spans="1:8" ht="30" customHeight="1" x14ac:dyDescent="0.2">
      <c r="A29" s="121" t="s">
        <v>2</v>
      </c>
      <c r="B29" s="58"/>
      <c r="C29" s="59"/>
      <c r="D29" s="60"/>
      <c r="E29" s="60"/>
      <c r="F29" s="60"/>
      <c r="G29" s="60"/>
      <c r="H29" s="23"/>
    </row>
    <row r="30" spans="1:8" ht="24" x14ac:dyDescent="0.2">
      <c r="A30" s="89" t="str">
        <f>A5</f>
        <v xml:space="preserve">Стоимость руб., с учетом комиссионных </v>
      </c>
      <c r="B30" s="54" t="s">
        <v>1</v>
      </c>
      <c r="C30" s="61">
        <f t="shared" ref="C30:G30" si="4">C6</f>
        <v>69522.471910112363</v>
      </c>
      <c r="D30" s="61">
        <f t="shared" si="4"/>
        <v>82280.701754385969</v>
      </c>
      <c r="E30" s="61">
        <f t="shared" si="4"/>
        <v>82166.666666666672</v>
      </c>
      <c r="F30" s="61">
        <f t="shared" si="4"/>
        <v>77586.206896551725</v>
      </c>
      <c r="G30" s="61">
        <f t="shared" si="4"/>
        <v>77994.428969359331</v>
      </c>
      <c r="H30" s="23"/>
    </row>
    <row r="31" spans="1:8" ht="15" customHeight="1" x14ac:dyDescent="0.2">
      <c r="A31" s="62" t="str">
        <f t="shared" ref="A31:F31" si="5">A9</f>
        <v>Права на объект</v>
      </c>
      <c r="B31" s="63" t="str">
        <f t="shared" si="5"/>
        <v>собственность</v>
      </c>
      <c r="C31" s="64" t="str">
        <f t="shared" si="5"/>
        <v>собственность</v>
      </c>
      <c r="D31" s="65" t="str">
        <f t="shared" si="5"/>
        <v>собственность</v>
      </c>
      <c r="E31" s="65" t="str">
        <f t="shared" si="5"/>
        <v>собственность</v>
      </c>
      <c r="F31" s="65" t="str">
        <f t="shared" si="5"/>
        <v>собственность</v>
      </c>
      <c r="G31" s="65" t="str">
        <f>G9</f>
        <v>собственность</v>
      </c>
      <c r="H31" s="23"/>
    </row>
    <row r="32" spans="1:8" ht="15" customHeight="1" x14ac:dyDescent="0.2">
      <c r="A32" s="89" t="s">
        <v>5</v>
      </c>
      <c r="B32" s="66"/>
      <c r="C32" s="67">
        <v>0</v>
      </c>
      <c r="D32" s="68">
        <v>0</v>
      </c>
      <c r="E32" s="68">
        <v>0</v>
      </c>
      <c r="F32" s="68">
        <v>0</v>
      </c>
      <c r="G32" s="68">
        <v>0</v>
      </c>
      <c r="H32" s="23"/>
    </row>
    <row r="33" spans="1:8" ht="24" x14ac:dyDescent="0.2">
      <c r="A33" s="89" t="s">
        <v>41</v>
      </c>
      <c r="B33" s="63" t="str">
        <f t="shared" ref="B33:G33" si="6">B30</f>
        <v>-</v>
      </c>
      <c r="C33" s="69">
        <f t="shared" si="6"/>
        <v>69522.471910112363</v>
      </c>
      <c r="D33" s="70">
        <f t="shared" si="6"/>
        <v>82280.701754385969</v>
      </c>
      <c r="E33" s="70">
        <f t="shared" si="6"/>
        <v>82166.666666666672</v>
      </c>
      <c r="F33" s="70">
        <f t="shared" si="6"/>
        <v>77586.206896551725</v>
      </c>
      <c r="G33" s="70">
        <f t="shared" si="6"/>
        <v>77994.428969359331</v>
      </c>
      <c r="H33" s="23"/>
    </row>
    <row r="34" spans="1:8" ht="15" customHeight="1" x14ac:dyDescent="0.2">
      <c r="A34" s="62" t="str">
        <f t="shared" ref="A34:F34" si="7">A10</f>
        <v>Условия финансирования</v>
      </c>
      <c r="B34" s="54" t="str">
        <f t="shared" si="7"/>
        <v>аналог.</v>
      </c>
      <c r="C34" s="53" t="str">
        <f t="shared" si="7"/>
        <v>аналог.</v>
      </c>
      <c r="D34" s="71" t="str">
        <f t="shared" si="7"/>
        <v>аналог.</v>
      </c>
      <c r="E34" s="71" t="str">
        <f t="shared" si="7"/>
        <v>аналог.</v>
      </c>
      <c r="F34" s="71" t="str">
        <f t="shared" si="7"/>
        <v>аналог.</v>
      </c>
      <c r="G34" s="71" t="str">
        <f>G10</f>
        <v>аналог.</v>
      </c>
      <c r="H34" s="23"/>
    </row>
    <row r="35" spans="1:8" ht="15" customHeight="1" x14ac:dyDescent="0.2">
      <c r="A35" s="89" t="str">
        <f>A32</f>
        <v>Корректировка,%</v>
      </c>
      <c r="B35" s="72"/>
      <c r="C35" s="73">
        <v>0</v>
      </c>
      <c r="D35" s="74">
        <v>0</v>
      </c>
      <c r="E35" s="74">
        <v>0</v>
      </c>
      <c r="F35" s="74">
        <v>0</v>
      </c>
      <c r="G35" s="74">
        <v>0</v>
      </c>
      <c r="H35" s="23"/>
    </row>
    <row r="36" spans="1:8" ht="24" x14ac:dyDescent="0.2">
      <c r="A36" s="89" t="str">
        <f>A33</f>
        <v xml:space="preserve">Скоррект. стоимость, руб./кв. м </v>
      </c>
      <c r="B36" s="54" t="str">
        <f t="shared" ref="B36:G36" si="8">B33</f>
        <v>-</v>
      </c>
      <c r="C36" s="61">
        <f t="shared" si="8"/>
        <v>69522.471910112363</v>
      </c>
      <c r="D36" s="75">
        <f t="shared" si="8"/>
        <v>82280.701754385969</v>
      </c>
      <c r="E36" s="75">
        <f t="shared" si="8"/>
        <v>82166.666666666672</v>
      </c>
      <c r="F36" s="75">
        <f t="shared" si="8"/>
        <v>77586.206896551725</v>
      </c>
      <c r="G36" s="75">
        <f t="shared" si="8"/>
        <v>77994.428969359331</v>
      </c>
      <c r="H36" s="23"/>
    </row>
    <row r="37" spans="1:8" s="25" customFormat="1" ht="15" customHeight="1" x14ac:dyDescent="0.2">
      <c r="A37" s="62" t="s">
        <v>29</v>
      </c>
      <c r="B37" s="54"/>
      <c r="C37" s="61" t="s">
        <v>30</v>
      </c>
      <c r="D37" s="61" t="s">
        <v>30</v>
      </c>
      <c r="E37" s="61" t="s">
        <v>30</v>
      </c>
      <c r="F37" s="61" t="s">
        <v>30</v>
      </c>
      <c r="G37" s="61" t="s">
        <v>30</v>
      </c>
      <c r="H37" s="55"/>
    </row>
    <row r="38" spans="1:8" ht="15" customHeight="1" x14ac:dyDescent="0.2">
      <c r="A38" s="89" t="s">
        <v>5</v>
      </c>
      <c r="B38" s="76"/>
      <c r="C38" s="77">
        <v>-0.03</v>
      </c>
      <c r="D38" s="77">
        <v>-0.03</v>
      </c>
      <c r="E38" s="77">
        <v>-0.03</v>
      </c>
      <c r="F38" s="77">
        <v>-0.03</v>
      </c>
      <c r="G38" s="77">
        <v>-0.03</v>
      </c>
      <c r="H38" s="23"/>
    </row>
    <row r="39" spans="1:8" ht="24" x14ac:dyDescent="0.2">
      <c r="A39" s="89" t="str">
        <f>A33</f>
        <v xml:space="preserve">Скоррект. стоимость, руб./кв. м </v>
      </c>
      <c r="B39" s="54" t="str">
        <f>B33</f>
        <v>-</v>
      </c>
      <c r="C39" s="61">
        <f t="shared" ref="C39:G39" si="9">C36*(1+C38)</f>
        <v>67436.797752808983</v>
      </c>
      <c r="D39" s="61">
        <f t="shared" si="9"/>
        <v>79812.280701754382</v>
      </c>
      <c r="E39" s="61">
        <f t="shared" si="9"/>
        <v>79701.666666666672</v>
      </c>
      <c r="F39" s="61">
        <f t="shared" si="9"/>
        <v>75258.620689655174</v>
      </c>
      <c r="G39" s="61">
        <f t="shared" si="9"/>
        <v>75654.596100278548</v>
      </c>
      <c r="H39" s="23"/>
    </row>
    <row r="40" spans="1:8" s="25" customFormat="1" ht="15" hidden="1" customHeight="1" x14ac:dyDescent="0.2">
      <c r="A40" s="62" t="str">
        <f t="shared" ref="A40:F40" si="10">A11</f>
        <v>Условия сделки</v>
      </c>
      <c r="B40" s="54" t="str">
        <f t="shared" si="10"/>
        <v>с комиссион.</v>
      </c>
      <c r="C40" s="61" t="str">
        <f t="shared" si="10"/>
        <v>с комиссион.</v>
      </c>
      <c r="D40" s="61" t="str">
        <f t="shared" si="10"/>
        <v>с комиссион.</v>
      </c>
      <c r="E40" s="61" t="str">
        <f t="shared" si="10"/>
        <v>с комиссион.</v>
      </c>
      <c r="F40" s="61" t="str">
        <f t="shared" si="10"/>
        <v>с комиссион.</v>
      </c>
      <c r="G40" s="61" t="str">
        <f>G11</f>
        <v>с комиссион.</v>
      </c>
      <c r="H40" s="55"/>
    </row>
    <row r="41" spans="1:8" ht="15" hidden="1" customHeight="1" x14ac:dyDescent="0.2">
      <c r="A41" s="89" t="s">
        <v>5</v>
      </c>
      <c r="B41" s="76"/>
      <c r="C41" s="77">
        <v>0</v>
      </c>
      <c r="D41" s="77">
        <v>0</v>
      </c>
      <c r="E41" s="77">
        <v>0</v>
      </c>
      <c r="F41" s="77">
        <v>0</v>
      </c>
      <c r="G41" s="77">
        <v>0</v>
      </c>
      <c r="H41" s="23"/>
    </row>
    <row r="42" spans="1:8" ht="24" hidden="1" customHeight="1" x14ac:dyDescent="0.2">
      <c r="A42" s="89" t="str">
        <f>A36</f>
        <v xml:space="preserve">Скоррект. стоимость, руб./кв. м </v>
      </c>
      <c r="B42" s="54" t="str">
        <f>B36</f>
        <v>-</v>
      </c>
      <c r="C42" s="61">
        <f t="shared" ref="C42:G42" si="11">C39*(1+C41)</f>
        <v>67436.797752808983</v>
      </c>
      <c r="D42" s="61">
        <f t="shared" si="11"/>
        <v>79812.280701754382</v>
      </c>
      <c r="E42" s="61">
        <f t="shared" si="11"/>
        <v>79701.666666666672</v>
      </c>
      <c r="F42" s="61">
        <f t="shared" si="11"/>
        <v>75258.620689655174</v>
      </c>
      <c r="G42" s="61">
        <f t="shared" si="11"/>
        <v>75654.596100278548</v>
      </c>
      <c r="H42" s="23"/>
    </row>
    <row r="43" spans="1:8" ht="15" customHeight="1" x14ac:dyDescent="0.2">
      <c r="A43" s="78" t="str">
        <f t="shared" ref="A43:F43" si="12">A12</f>
        <v>Дата сделки</v>
      </c>
      <c r="B43" s="79">
        <f t="shared" si="12"/>
        <v>42801</v>
      </c>
      <c r="C43" s="80">
        <f t="shared" si="12"/>
        <v>42801</v>
      </c>
      <c r="D43" s="80">
        <f t="shared" si="12"/>
        <v>42801</v>
      </c>
      <c r="E43" s="80">
        <f t="shared" si="12"/>
        <v>42801</v>
      </c>
      <c r="F43" s="80">
        <f t="shared" si="12"/>
        <v>42801</v>
      </c>
      <c r="G43" s="80">
        <f>G12</f>
        <v>42801</v>
      </c>
      <c r="H43" s="23"/>
    </row>
    <row r="44" spans="1:8" ht="15" customHeight="1" x14ac:dyDescent="0.2">
      <c r="A44" s="89" t="s">
        <v>5</v>
      </c>
      <c r="B44" s="54"/>
      <c r="C44" s="67">
        <v>0</v>
      </c>
      <c r="D44" s="67">
        <v>0</v>
      </c>
      <c r="E44" s="67">
        <v>0</v>
      </c>
      <c r="F44" s="67">
        <v>0</v>
      </c>
      <c r="G44" s="67">
        <v>0</v>
      </c>
      <c r="H44" s="23"/>
    </row>
    <row r="45" spans="1:8" ht="24.75" thickBot="1" x14ac:dyDescent="0.25">
      <c r="A45" s="122" t="str">
        <f>A42</f>
        <v xml:space="preserve">Скоррект. стоимость, руб./кв. м </v>
      </c>
      <c r="B45" s="81" t="s">
        <v>1</v>
      </c>
      <c r="C45" s="82">
        <f t="shared" ref="C45:G45" si="13">C42*(1+C44)</f>
        <v>67436.797752808983</v>
      </c>
      <c r="D45" s="82">
        <f t="shared" si="13"/>
        <v>79812.280701754382</v>
      </c>
      <c r="E45" s="82">
        <f t="shared" si="13"/>
        <v>79701.666666666672</v>
      </c>
      <c r="F45" s="82">
        <f t="shared" si="13"/>
        <v>75258.620689655174</v>
      </c>
      <c r="G45" s="82">
        <f t="shared" si="13"/>
        <v>75654.596100278548</v>
      </c>
      <c r="H45" s="23"/>
    </row>
    <row r="46" spans="1:8" ht="12" x14ac:dyDescent="0.2">
      <c r="A46" s="123"/>
      <c r="B46" s="37"/>
      <c r="C46" s="83"/>
      <c r="D46" s="83"/>
      <c r="E46" s="84"/>
      <c r="F46" s="84"/>
      <c r="G46" s="84"/>
    </row>
    <row r="47" spans="1:8" s="25" customFormat="1" ht="27.75" customHeight="1" thickBot="1" x14ac:dyDescent="0.25">
      <c r="A47" s="123"/>
      <c r="B47" s="27"/>
      <c r="C47" s="85"/>
      <c r="D47" s="85"/>
      <c r="E47" s="85"/>
    </row>
    <row r="48" spans="1:8" s="23" customFormat="1" ht="41.25" customHeight="1" thickBot="1" x14ac:dyDescent="0.25">
      <c r="A48" s="44" t="s">
        <v>0</v>
      </c>
      <c r="B48" s="39" t="str">
        <f t="shared" ref="B48:G48" si="14">B28</f>
        <v>Объект оценки</v>
      </c>
      <c r="C48" s="56" t="str">
        <f t="shared" si="14"/>
        <v>Объект   сравнения №1</v>
      </c>
      <c r="D48" s="56" t="str">
        <f t="shared" si="14"/>
        <v>Объект сравнения №2</v>
      </c>
      <c r="E48" s="56" t="str">
        <f t="shared" si="14"/>
        <v>Объект сравнения №3</v>
      </c>
      <c r="F48" s="57" t="str">
        <f t="shared" si="14"/>
        <v>Объект сравнения №4</v>
      </c>
      <c r="G48" s="57" t="str">
        <f t="shared" si="14"/>
        <v>Объект сравнения №5</v>
      </c>
      <c r="H48" s="28" t="s">
        <v>44</v>
      </c>
    </row>
    <row r="49" spans="1:9" s="23" customFormat="1" ht="31.5" hidden="1" customHeight="1" x14ac:dyDescent="0.2">
      <c r="A49" s="124" t="s">
        <v>4</v>
      </c>
      <c r="B49" s="40"/>
      <c r="C49" s="86"/>
      <c r="D49" s="86"/>
      <c r="E49" s="87"/>
      <c r="F49" s="88"/>
      <c r="G49" s="87"/>
      <c r="H49" s="86"/>
    </row>
    <row r="50" spans="1:9" s="29" customFormat="1" ht="0.75" hidden="1" customHeight="1" x14ac:dyDescent="0.2">
      <c r="A50" s="89" t="str">
        <f t="shared" ref="A50:G50" si="15">A16</f>
        <v>Тип дома</v>
      </c>
      <c r="B50" s="90" t="str">
        <f t="shared" si="15"/>
        <v>панельный многоэтажный</v>
      </c>
      <c r="C50" s="91" t="str">
        <f t="shared" si="15"/>
        <v>панельный многоэтажный</v>
      </c>
      <c r="D50" s="91" t="str">
        <f t="shared" si="15"/>
        <v>панельный многоэтажный</v>
      </c>
      <c r="E50" s="91" t="str">
        <f t="shared" si="15"/>
        <v>панельный многоэтажный</v>
      </c>
      <c r="F50" s="91" t="str">
        <f t="shared" si="15"/>
        <v>панельный многоэтажный</v>
      </c>
      <c r="G50" s="91" t="str">
        <f t="shared" si="15"/>
        <v>панельный многоэтажный</v>
      </c>
      <c r="H50" s="92"/>
    </row>
    <row r="51" spans="1:9" s="131" customFormat="1" ht="23.25" hidden="1" customHeight="1" x14ac:dyDescent="0.2">
      <c r="A51" s="128" t="str">
        <f>A44</f>
        <v>Корректировка,%</v>
      </c>
      <c r="B51" s="129"/>
      <c r="C51" s="101">
        <v>0</v>
      </c>
      <c r="D51" s="101">
        <v>0</v>
      </c>
      <c r="E51" s="101">
        <v>0</v>
      </c>
      <c r="F51" s="101">
        <v>0</v>
      </c>
      <c r="G51" s="101">
        <v>0</v>
      </c>
      <c r="H51" s="130"/>
    </row>
    <row r="52" spans="1:9" s="29" customFormat="1" ht="24" hidden="1" customHeight="1" thickBot="1" x14ac:dyDescent="0.25">
      <c r="A52" s="119" t="str">
        <f>A45</f>
        <v xml:space="preserve">Скоррект. стоимость, руб./кв. м </v>
      </c>
      <c r="B52" s="96"/>
      <c r="C52" s="82">
        <f>C45*(1+C51)</f>
        <v>67436.797752808983</v>
      </c>
      <c r="D52" s="82">
        <f t="shared" ref="D52:G52" si="16">D45*(1+D51)</f>
        <v>79812.280701754382</v>
      </c>
      <c r="E52" s="82">
        <f t="shared" si="16"/>
        <v>79701.666666666672</v>
      </c>
      <c r="F52" s="82">
        <f t="shared" si="16"/>
        <v>75258.620689655174</v>
      </c>
      <c r="G52" s="82">
        <f t="shared" si="16"/>
        <v>75654.596100278548</v>
      </c>
      <c r="H52" s="97"/>
    </row>
    <row r="53" spans="1:9" s="30" customFormat="1" ht="23.25" hidden="1" customHeight="1" x14ac:dyDescent="0.2">
      <c r="A53" s="89" t="str">
        <f>A22</f>
        <v>Количество комнат</v>
      </c>
      <c r="B53" s="98">
        <f>B22</f>
        <v>3</v>
      </c>
      <c r="C53" s="99">
        <f>C22</f>
        <v>3</v>
      </c>
      <c r="D53" s="99">
        <f t="shared" ref="D53:G53" si="17">D22</f>
        <v>3</v>
      </c>
      <c r="E53" s="99">
        <f t="shared" si="17"/>
        <v>3</v>
      </c>
      <c r="F53" s="99">
        <f t="shared" si="17"/>
        <v>3</v>
      </c>
      <c r="G53" s="99">
        <f t="shared" si="17"/>
        <v>3</v>
      </c>
      <c r="H53" s="100"/>
    </row>
    <row r="54" spans="1:9" s="29" customFormat="1" ht="23.25" hidden="1" customHeight="1" x14ac:dyDescent="0.2">
      <c r="A54" s="93" t="s">
        <v>10</v>
      </c>
      <c r="B54" s="94"/>
      <c r="C54" s="77">
        <v>0</v>
      </c>
      <c r="D54" s="77">
        <v>0</v>
      </c>
      <c r="E54" s="77">
        <v>0</v>
      </c>
      <c r="F54" s="77">
        <v>0</v>
      </c>
      <c r="G54" s="77">
        <v>0</v>
      </c>
      <c r="H54" s="95"/>
    </row>
    <row r="55" spans="1:9" s="29" customFormat="1" ht="24" hidden="1" customHeight="1" thickBot="1" x14ac:dyDescent="0.25">
      <c r="A55" s="119" t="str">
        <f>A52</f>
        <v xml:space="preserve">Скоррект. стоимость, руб./кв. м </v>
      </c>
      <c r="B55" s="102"/>
      <c r="C55" s="61">
        <f t="shared" ref="C55:G55" si="18">C52*(1+C54)</f>
        <v>67436.797752808983</v>
      </c>
      <c r="D55" s="82">
        <f t="shared" si="18"/>
        <v>79812.280701754382</v>
      </c>
      <c r="E55" s="103">
        <f t="shared" si="18"/>
        <v>79701.666666666672</v>
      </c>
      <c r="F55" s="82">
        <f t="shared" si="18"/>
        <v>75258.620689655174</v>
      </c>
      <c r="G55" s="61">
        <f t="shared" si="18"/>
        <v>75654.596100278548</v>
      </c>
      <c r="H55" s="97"/>
    </row>
    <row r="56" spans="1:9" s="29" customFormat="1" ht="30.75" hidden="1" customHeight="1" x14ac:dyDescent="0.2">
      <c r="A56" s="89" t="str">
        <f t="shared" ref="A56:G56" si="19">A16</f>
        <v>Тип дома</v>
      </c>
      <c r="B56" s="98" t="str">
        <f t="shared" si="19"/>
        <v>панельный многоэтажный</v>
      </c>
      <c r="C56" s="99" t="str">
        <f t="shared" si="19"/>
        <v>панельный многоэтажный</v>
      </c>
      <c r="D56" s="99" t="str">
        <f t="shared" si="19"/>
        <v>панельный многоэтажный</v>
      </c>
      <c r="E56" s="99" t="str">
        <f t="shared" si="19"/>
        <v>панельный многоэтажный</v>
      </c>
      <c r="F56" s="99" t="str">
        <f t="shared" si="19"/>
        <v>панельный многоэтажный</v>
      </c>
      <c r="G56" s="99" t="str">
        <f t="shared" si="19"/>
        <v>панельный многоэтажный</v>
      </c>
      <c r="H56" s="104"/>
    </row>
    <row r="57" spans="1:9" s="29" customFormat="1" ht="24.75" hidden="1" customHeight="1" thickBot="1" x14ac:dyDescent="0.25">
      <c r="A57" s="116" t="s">
        <v>10</v>
      </c>
      <c r="B57" s="291">
        <v>2</v>
      </c>
      <c r="C57" s="292">
        <v>1</v>
      </c>
      <c r="D57" s="293">
        <v>1</v>
      </c>
      <c r="E57" s="292">
        <v>1</v>
      </c>
      <c r="F57" s="293">
        <v>3</v>
      </c>
      <c r="G57" s="292">
        <v>2</v>
      </c>
      <c r="H57" s="293">
        <f>MAX(B57:G57)</f>
        <v>3</v>
      </c>
    </row>
    <row r="58" spans="1:9" s="317" customFormat="1" ht="28.5" hidden="1" customHeight="1" x14ac:dyDescent="0.2">
      <c r="A58" s="337" t="str">
        <f t="shared" ref="A58:G58" si="20">A14</f>
        <v>Состояние</v>
      </c>
      <c r="B58" s="338" t="str">
        <f t="shared" si="20"/>
        <v>удовлетворительное</v>
      </c>
      <c r="C58" s="339" t="str">
        <f t="shared" si="20"/>
        <v>удовлетворительное</v>
      </c>
      <c r="D58" s="340" t="str">
        <f t="shared" si="20"/>
        <v>удовлетворительное</v>
      </c>
      <c r="E58" s="339" t="str">
        <f t="shared" si="20"/>
        <v>удовлетворительное</v>
      </c>
      <c r="F58" s="339" t="str">
        <f t="shared" si="20"/>
        <v>удовлетворительное</v>
      </c>
      <c r="G58" s="339" t="str">
        <f t="shared" si="20"/>
        <v>удовлетворительное</v>
      </c>
      <c r="H58" s="341"/>
      <c r="I58" s="342"/>
    </row>
    <row r="59" spans="1:9" s="321" customFormat="1" ht="18" hidden="1" customHeight="1" x14ac:dyDescent="0.2">
      <c r="A59" s="318" t="s">
        <v>10</v>
      </c>
      <c r="B59" s="319">
        <v>1</v>
      </c>
      <c r="C59" s="320">
        <v>1</v>
      </c>
      <c r="D59" s="320">
        <v>1</v>
      </c>
      <c r="E59" s="320">
        <v>1</v>
      </c>
      <c r="F59" s="320">
        <v>1</v>
      </c>
      <c r="G59" s="320">
        <v>1</v>
      </c>
      <c r="H59" s="320">
        <f>MAX(B59:G59)</f>
        <v>1</v>
      </c>
    </row>
    <row r="60" spans="1:9" s="329" customFormat="1" ht="22.5" customHeight="1" x14ac:dyDescent="0.2">
      <c r="A60" s="325" t="str">
        <f t="shared" ref="A60:G60" si="21">A15</f>
        <v>Этаж/Этажность</v>
      </c>
      <c r="B60" s="326" t="str">
        <f t="shared" si="21"/>
        <v>2/9</v>
      </c>
      <c r="C60" s="327" t="str">
        <f t="shared" si="21"/>
        <v>1/9</v>
      </c>
      <c r="D60" s="327" t="str">
        <f t="shared" si="21"/>
        <v>2/9</v>
      </c>
      <c r="E60" s="327" t="str">
        <f t="shared" si="21"/>
        <v>6/9</v>
      </c>
      <c r="F60" s="327" t="str">
        <f t="shared" si="21"/>
        <v>9/9</v>
      </c>
      <c r="G60" s="327" t="str">
        <f t="shared" si="21"/>
        <v>6/12</v>
      </c>
      <c r="H60" s="328"/>
    </row>
    <row r="61" spans="1:9" s="333" customFormat="1" ht="21.75" customHeight="1" x14ac:dyDescent="0.2">
      <c r="A61" s="330" t="s">
        <v>10</v>
      </c>
      <c r="B61" s="331">
        <v>3</v>
      </c>
      <c r="C61" s="332">
        <v>1</v>
      </c>
      <c r="D61" s="332">
        <v>3</v>
      </c>
      <c r="E61" s="332">
        <v>3</v>
      </c>
      <c r="F61" s="332">
        <v>2</v>
      </c>
      <c r="G61" s="332">
        <v>3</v>
      </c>
      <c r="H61" s="332">
        <f>MAX(B61:G61)</f>
        <v>3</v>
      </c>
    </row>
    <row r="62" spans="1:9" s="210" customFormat="1" ht="16.5" customHeight="1" x14ac:dyDescent="0.2">
      <c r="A62" s="179" t="str">
        <f t="shared" ref="A62:F62" si="22">A18</f>
        <v>Общая площадь (м.кв.)</v>
      </c>
      <c r="B62" s="207">
        <f t="shared" si="22"/>
        <v>57.4</v>
      </c>
      <c r="C62" s="208">
        <f t="shared" si="22"/>
        <v>71.2</v>
      </c>
      <c r="D62" s="208">
        <f t="shared" si="22"/>
        <v>57</v>
      </c>
      <c r="E62" s="208">
        <f t="shared" si="22"/>
        <v>60</v>
      </c>
      <c r="F62" s="208">
        <f t="shared" si="22"/>
        <v>58</v>
      </c>
      <c r="G62" s="208">
        <f>G18</f>
        <v>71.8</v>
      </c>
      <c r="H62" s="209"/>
    </row>
    <row r="63" spans="1:9" s="206" customFormat="1" ht="17.25" customHeight="1" x14ac:dyDescent="0.2">
      <c r="A63" s="203" t="s">
        <v>10</v>
      </c>
      <c r="B63" s="204">
        <v>2</v>
      </c>
      <c r="C63" s="205">
        <v>1</v>
      </c>
      <c r="D63" s="205">
        <v>2</v>
      </c>
      <c r="E63" s="205">
        <v>2</v>
      </c>
      <c r="F63" s="205">
        <v>2</v>
      </c>
      <c r="G63" s="205">
        <v>1</v>
      </c>
      <c r="H63" s="205">
        <f>MAX(B63:G63)</f>
        <v>2</v>
      </c>
    </row>
    <row r="64" spans="1:9" s="317" customFormat="1" ht="24" hidden="1" customHeight="1" x14ac:dyDescent="0.2">
      <c r="A64" s="313" t="str">
        <f t="shared" ref="A64:G64" si="23">A17</f>
        <v>Местоположение, транспортная доступность</v>
      </c>
      <c r="B64" s="314" t="str">
        <f t="shared" si="23"/>
        <v>нормальное</v>
      </c>
      <c r="C64" s="315" t="str">
        <f t="shared" si="23"/>
        <v>нормальное</v>
      </c>
      <c r="D64" s="315" t="str">
        <f t="shared" si="23"/>
        <v>нормальное</v>
      </c>
      <c r="E64" s="315" t="str">
        <f t="shared" si="23"/>
        <v>нормальное</v>
      </c>
      <c r="F64" s="315" t="str">
        <f t="shared" si="23"/>
        <v>нормальное</v>
      </c>
      <c r="G64" s="315" t="str">
        <f t="shared" si="23"/>
        <v>нормальное</v>
      </c>
      <c r="H64" s="316"/>
    </row>
    <row r="65" spans="1:8" s="321" customFormat="1" ht="18" hidden="1" customHeight="1" x14ac:dyDescent="0.2">
      <c r="A65" s="318" t="s">
        <v>10</v>
      </c>
      <c r="B65" s="319">
        <v>1</v>
      </c>
      <c r="C65" s="320">
        <v>1</v>
      </c>
      <c r="D65" s="320">
        <v>1</v>
      </c>
      <c r="E65" s="320">
        <v>1</v>
      </c>
      <c r="F65" s="320">
        <v>1</v>
      </c>
      <c r="G65" s="320">
        <v>1</v>
      </c>
      <c r="H65" s="320">
        <f>MAX(B65:G65)</f>
        <v>1</v>
      </c>
    </row>
    <row r="66" spans="1:8" s="336" customFormat="1" ht="18" hidden="1" customHeight="1" x14ac:dyDescent="0.2">
      <c r="A66" s="313" t="str">
        <f t="shared" ref="A66:F66" si="24">A21</f>
        <v>Санузел</v>
      </c>
      <c r="B66" s="314" t="str">
        <f t="shared" si="24"/>
        <v>раздельный</v>
      </c>
      <c r="C66" s="315" t="str">
        <f t="shared" si="24"/>
        <v>раздельный</v>
      </c>
      <c r="D66" s="315" t="str">
        <f t="shared" si="24"/>
        <v>раздельный</v>
      </c>
      <c r="E66" s="315" t="str">
        <f t="shared" si="24"/>
        <v>раздельный</v>
      </c>
      <c r="F66" s="315" t="str">
        <f t="shared" si="24"/>
        <v>раздельный</v>
      </c>
      <c r="G66" s="315" t="str">
        <f>G21</f>
        <v>раздельный</v>
      </c>
      <c r="H66" s="335"/>
    </row>
    <row r="67" spans="1:8" s="321" customFormat="1" ht="15" hidden="1" customHeight="1" x14ac:dyDescent="0.2">
      <c r="A67" s="318" t="s">
        <v>10</v>
      </c>
      <c r="B67" s="319">
        <v>1</v>
      </c>
      <c r="C67" s="320">
        <v>1</v>
      </c>
      <c r="D67" s="320">
        <v>1</v>
      </c>
      <c r="E67" s="320">
        <v>1</v>
      </c>
      <c r="F67" s="320">
        <v>1</v>
      </c>
      <c r="G67" s="320">
        <v>1</v>
      </c>
      <c r="H67" s="320">
        <f>MAX(B67:G67)</f>
        <v>1</v>
      </c>
    </row>
    <row r="68" spans="1:8" s="317" customFormat="1" ht="24" hidden="1" customHeight="1" x14ac:dyDescent="0.2">
      <c r="A68" s="313" t="s">
        <v>28</v>
      </c>
      <c r="B68" s="314" t="str">
        <f>B16</f>
        <v>панельный многоэтажный</v>
      </c>
      <c r="C68" s="322" t="str">
        <f t="shared" ref="C68:G68" si="25">C16</f>
        <v>панельный многоэтажный</v>
      </c>
      <c r="D68" s="322" t="str">
        <f t="shared" si="25"/>
        <v>панельный многоэтажный</v>
      </c>
      <c r="E68" s="322" t="str">
        <f t="shared" si="25"/>
        <v>панельный многоэтажный</v>
      </c>
      <c r="F68" s="322" t="str">
        <f t="shared" si="25"/>
        <v>панельный многоэтажный</v>
      </c>
      <c r="G68" s="322" t="str">
        <f t="shared" si="25"/>
        <v>панельный многоэтажный</v>
      </c>
      <c r="H68" s="323"/>
    </row>
    <row r="69" spans="1:8" s="321" customFormat="1" ht="17.25" hidden="1" customHeight="1" x14ac:dyDescent="0.2">
      <c r="A69" s="318" t="s">
        <v>10</v>
      </c>
      <c r="B69" s="319">
        <v>1</v>
      </c>
      <c r="C69" s="320">
        <v>1</v>
      </c>
      <c r="D69" s="320">
        <v>1</v>
      </c>
      <c r="E69" s="320">
        <v>1</v>
      </c>
      <c r="F69" s="320">
        <v>1</v>
      </c>
      <c r="G69" s="320">
        <v>1</v>
      </c>
      <c r="H69" s="320">
        <f>MAX(B69:G69)</f>
        <v>1</v>
      </c>
    </row>
    <row r="70" spans="1:8" s="317" customFormat="1" ht="20.25" hidden="1" customHeight="1" x14ac:dyDescent="0.2">
      <c r="A70" s="313" t="str">
        <f>A20</f>
        <v>Вид из окон</v>
      </c>
      <c r="B70" s="314" t="str">
        <f>B20</f>
        <v>двор</v>
      </c>
      <c r="C70" s="315" t="str">
        <f>C20</f>
        <v>двор</v>
      </c>
      <c r="D70" s="315" t="str">
        <f t="shared" ref="D70:G70" si="26">D20</f>
        <v>двор</v>
      </c>
      <c r="E70" s="315" t="str">
        <f t="shared" si="26"/>
        <v>двор</v>
      </c>
      <c r="F70" s="315" t="str">
        <f t="shared" si="26"/>
        <v>двор</v>
      </c>
      <c r="G70" s="315" t="str">
        <f t="shared" si="26"/>
        <v>двор</v>
      </c>
      <c r="H70" s="323"/>
    </row>
    <row r="71" spans="1:8" s="321" customFormat="1" ht="21" hidden="1" customHeight="1" x14ac:dyDescent="0.2">
      <c r="A71" s="318" t="s">
        <v>10</v>
      </c>
      <c r="B71" s="319">
        <v>0.9</v>
      </c>
      <c r="C71" s="320">
        <v>1</v>
      </c>
      <c r="D71" s="320">
        <v>1</v>
      </c>
      <c r="E71" s="320">
        <v>1</v>
      </c>
      <c r="F71" s="320">
        <v>1</v>
      </c>
      <c r="G71" s="320">
        <v>1</v>
      </c>
      <c r="H71" s="320">
        <f>MAX(B71:G71)</f>
        <v>1</v>
      </c>
    </row>
    <row r="72" spans="1:8" s="317" customFormat="1" ht="19.5" hidden="1" customHeight="1" x14ac:dyDescent="0.2">
      <c r="A72" s="313" t="str">
        <f>A23</f>
        <v>Планировка</v>
      </c>
      <c r="B72" s="314" t="str">
        <f>B23</f>
        <v>двухсторонняя</v>
      </c>
      <c r="C72" s="315" t="str">
        <f>C23</f>
        <v>одностронняя</v>
      </c>
      <c r="D72" s="315" t="str">
        <f t="shared" ref="D72:G72" si="27">D23</f>
        <v>одностронняя</v>
      </c>
      <c r="E72" s="315" t="str">
        <f t="shared" si="27"/>
        <v>одностронняя</v>
      </c>
      <c r="F72" s="315" t="str">
        <f t="shared" si="27"/>
        <v>двухсторонняя</v>
      </c>
      <c r="G72" s="315" t="str">
        <f t="shared" si="27"/>
        <v>одностронняя</v>
      </c>
      <c r="H72" s="323"/>
    </row>
    <row r="73" spans="1:8" s="321" customFormat="1" ht="17.25" hidden="1" customHeight="1" x14ac:dyDescent="0.2">
      <c r="A73" s="318" t="s">
        <v>10</v>
      </c>
      <c r="B73" s="319">
        <v>1</v>
      </c>
      <c r="C73" s="320">
        <v>1</v>
      </c>
      <c r="D73" s="320">
        <v>1</v>
      </c>
      <c r="E73" s="320">
        <v>1</v>
      </c>
      <c r="F73" s="320">
        <v>1</v>
      </c>
      <c r="G73" s="320">
        <v>1</v>
      </c>
      <c r="H73" s="320">
        <f>MAX(B73:G73)</f>
        <v>1</v>
      </c>
    </row>
    <row r="74" spans="1:8" s="202" customFormat="1" ht="26.25" customHeight="1" x14ac:dyDescent="0.2">
      <c r="A74" s="179" t="str">
        <f t="shared" ref="A74:F74" si="28">A24</f>
        <v>Наличие улучшений</v>
      </c>
      <c r="B74" s="207" t="str">
        <f t="shared" si="28"/>
        <v>2 лоджии</v>
      </c>
      <c r="C74" s="208" t="str">
        <f t="shared" si="28"/>
        <v>нет</v>
      </c>
      <c r="D74" s="208" t="str">
        <f t="shared" si="28"/>
        <v>лоджия</v>
      </c>
      <c r="E74" s="208" t="str">
        <f t="shared" si="28"/>
        <v>лоджия</v>
      </c>
      <c r="F74" s="208" t="str">
        <f t="shared" si="28"/>
        <v>2 лоджии</v>
      </c>
      <c r="G74" s="208" t="str">
        <f>G24</f>
        <v>лоджия</v>
      </c>
      <c r="H74" s="211"/>
    </row>
    <row r="75" spans="1:8" s="206" customFormat="1" ht="18.75" customHeight="1" x14ac:dyDescent="0.2">
      <c r="A75" s="203" t="s">
        <v>10</v>
      </c>
      <c r="B75" s="204">
        <v>2</v>
      </c>
      <c r="C75" s="205">
        <v>1</v>
      </c>
      <c r="D75" s="205">
        <v>2</v>
      </c>
      <c r="E75" s="205">
        <v>2</v>
      </c>
      <c r="F75" s="205">
        <v>2</v>
      </c>
      <c r="G75" s="205">
        <v>2</v>
      </c>
      <c r="H75" s="205">
        <f>MAX(B75:G75)</f>
        <v>2</v>
      </c>
    </row>
    <row r="76" spans="1:8" s="202" customFormat="1" ht="18" customHeight="1" x14ac:dyDescent="0.2">
      <c r="A76" s="179" t="str">
        <f t="shared" ref="A76:F76" si="29">A25</f>
        <v>Кухня</v>
      </c>
      <c r="B76" s="212">
        <f t="shared" si="29"/>
        <v>6.2</v>
      </c>
      <c r="C76" s="213">
        <f t="shared" si="29"/>
        <v>12.6</v>
      </c>
      <c r="D76" s="213">
        <f t="shared" si="29"/>
        <v>6</v>
      </c>
      <c r="E76" s="213">
        <f t="shared" si="29"/>
        <v>6</v>
      </c>
      <c r="F76" s="213">
        <f t="shared" si="29"/>
        <v>6.1</v>
      </c>
      <c r="G76" s="213">
        <f>G25</f>
        <v>10.7</v>
      </c>
      <c r="H76" s="211"/>
    </row>
    <row r="77" spans="1:8" s="206" customFormat="1" ht="18" customHeight="1" thickBot="1" x14ac:dyDescent="0.25">
      <c r="A77" s="214" t="s">
        <v>10</v>
      </c>
      <c r="B77" s="215">
        <v>1</v>
      </c>
      <c r="C77" s="216">
        <v>2</v>
      </c>
      <c r="D77" s="216">
        <v>1</v>
      </c>
      <c r="E77" s="216">
        <v>1</v>
      </c>
      <c r="F77" s="216">
        <v>1</v>
      </c>
      <c r="G77" s="216">
        <v>2</v>
      </c>
      <c r="H77" s="216">
        <f>MAX(B77:G77)</f>
        <v>2</v>
      </c>
    </row>
    <row r="78" spans="1:8" s="29" customFormat="1" ht="15.75" customHeight="1" x14ac:dyDescent="0.2">
      <c r="A78" s="126"/>
      <c r="B78" s="38"/>
      <c r="C78" s="105"/>
      <c r="D78" s="105"/>
      <c r="E78" s="105"/>
      <c r="F78" s="105"/>
      <c r="G78" s="105"/>
      <c r="H78" s="127"/>
    </row>
    <row r="79" spans="1:8" s="22" customFormat="1" ht="39" customHeight="1" x14ac:dyDescent="0.2">
      <c r="A79" s="463"/>
      <c r="B79" s="464"/>
      <c r="C79" s="464"/>
      <c r="D79" s="464"/>
      <c r="E79" s="464"/>
      <c r="F79" s="106"/>
      <c r="G79" s="106"/>
    </row>
    <row r="80" spans="1:8" ht="42.75" customHeight="1" thickBot="1" x14ac:dyDescent="0.25">
      <c r="C80" s="55"/>
      <c r="D80" s="55"/>
      <c r="E80" s="55"/>
      <c r="F80" s="21"/>
      <c r="G80" s="21"/>
    </row>
    <row r="81" spans="1:11" s="23" customFormat="1" ht="34.5" customHeight="1" thickBot="1" x14ac:dyDescent="0.25">
      <c r="A81" s="45" t="s">
        <v>0</v>
      </c>
      <c r="B81" s="41" t="s">
        <v>20</v>
      </c>
      <c r="C81" s="28" t="str">
        <f t="shared" ref="C81:G81" si="30">C48</f>
        <v>Объект   сравнения №1</v>
      </c>
      <c r="D81" s="28" t="str">
        <f t="shared" si="30"/>
        <v>Объект сравнения №2</v>
      </c>
      <c r="E81" s="107" t="str">
        <f t="shared" si="30"/>
        <v>Объект сравнения №3</v>
      </c>
      <c r="F81" s="44" t="str">
        <f t="shared" si="30"/>
        <v>Объект сравнения №4</v>
      </c>
      <c r="G81" s="44" t="str">
        <f t="shared" si="30"/>
        <v>Объект сравнения №5</v>
      </c>
      <c r="H81" s="28" t="s">
        <v>16</v>
      </c>
    </row>
    <row r="82" spans="1:11" s="160" customFormat="1" ht="18" hidden="1" customHeight="1" x14ac:dyDescent="0.2">
      <c r="A82" s="156" t="str">
        <f>A58</f>
        <v>Состояние</v>
      </c>
      <c r="B82" s="157">
        <f t="shared" ref="B82:G82" si="31">B59/$H$59*$H$82</f>
        <v>0</v>
      </c>
      <c r="C82" s="158">
        <f t="shared" si="31"/>
        <v>0</v>
      </c>
      <c r="D82" s="158">
        <f t="shared" si="31"/>
        <v>0</v>
      </c>
      <c r="E82" s="158">
        <f t="shared" si="31"/>
        <v>0</v>
      </c>
      <c r="F82" s="158">
        <f t="shared" si="31"/>
        <v>0</v>
      </c>
      <c r="G82" s="158">
        <f t="shared" si="31"/>
        <v>0</v>
      </c>
      <c r="H82" s="159">
        <v>0</v>
      </c>
    </row>
    <row r="83" spans="1:11" s="155" customFormat="1" ht="18.75" customHeight="1" x14ac:dyDescent="0.2">
      <c r="A83" s="151" t="str">
        <f>A60</f>
        <v>Этаж/Этажность</v>
      </c>
      <c r="B83" s="152">
        <f t="shared" ref="B83:G83" si="32">B61/$H$61*$H$83</f>
        <v>0.25</v>
      </c>
      <c r="C83" s="153">
        <f t="shared" si="32"/>
        <v>8.3333333333333329E-2</v>
      </c>
      <c r="D83" s="153">
        <f t="shared" si="32"/>
        <v>0.25</v>
      </c>
      <c r="E83" s="153">
        <f t="shared" si="32"/>
        <v>0.25</v>
      </c>
      <c r="F83" s="153">
        <f t="shared" si="32"/>
        <v>0.16666666666666666</v>
      </c>
      <c r="G83" s="153">
        <f t="shared" si="32"/>
        <v>0.25</v>
      </c>
      <c r="H83" s="154">
        <v>0.25</v>
      </c>
    </row>
    <row r="84" spans="1:11" s="138" customFormat="1" ht="19.5" customHeight="1" x14ac:dyDescent="0.2">
      <c r="A84" s="135" t="str">
        <f>A62</f>
        <v>Общая площадь (м.кв.)</v>
      </c>
      <c r="B84" s="136">
        <f t="shared" ref="B84:G84" si="33">B63/$H$63*$H$84</f>
        <v>0.3</v>
      </c>
      <c r="C84" s="137">
        <f t="shared" si="33"/>
        <v>0.15</v>
      </c>
      <c r="D84" s="137">
        <f t="shared" si="33"/>
        <v>0.3</v>
      </c>
      <c r="E84" s="137">
        <f t="shared" si="33"/>
        <v>0.3</v>
      </c>
      <c r="F84" s="137">
        <f t="shared" si="33"/>
        <v>0.3</v>
      </c>
      <c r="G84" s="137">
        <f t="shared" si="33"/>
        <v>0.15</v>
      </c>
      <c r="H84" s="139">
        <v>0.3</v>
      </c>
    </row>
    <row r="85" spans="1:11" s="160" customFormat="1" ht="24" hidden="1" customHeight="1" x14ac:dyDescent="0.2">
      <c r="A85" s="156" t="str">
        <f>A64</f>
        <v>Местоположение, транспортная доступность</v>
      </c>
      <c r="B85" s="157">
        <f t="shared" ref="B85:G85" si="34">B65/$H$65*$H$85</f>
        <v>0</v>
      </c>
      <c r="C85" s="158">
        <f t="shared" si="34"/>
        <v>0</v>
      </c>
      <c r="D85" s="158">
        <f t="shared" si="34"/>
        <v>0</v>
      </c>
      <c r="E85" s="158">
        <f t="shared" si="34"/>
        <v>0</v>
      </c>
      <c r="F85" s="158">
        <f t="shared" si="34"/>
        <v>0</v>
      </c>
      <c r="G85" s="158">
        <f t="shared" si="34"/>
        <v>0</v>
      </c>
      <c r="H85" s="159">
        <v>0</v>
      </c>
    </row>
    <row r="86" spans="1:11" s="160" customFormat="1" ht="17.25" hidden="1" customHeight="1" x14ac:dyDescent="0.2">
      <c r="A86" s="156" t="str">
        <f>A66</f>
        <v>Санузел</v>
      </c>
      <c r="B86" s="157">
        <f t="shared" ref="B86:G86" si="35">B67/$H$67*$H$86</f>
        <v>0</v>
      </c>
      <c r="C86" s="158">
        <f t="shared" si="35"/>
        <v>0</v>
      </c>
      <c r="D86" s="158">
        <f t="shared" si="35"/>
        <v>0</v>
      </c>
      <c r="E86" s="158">
        <f t="shared" si="35"/>
        <v>0</v>
      </c>
      <c r="F86" s="158">
        <f t="shared" si="35"/>
        <v>0</v>
      </c>
      <c r="G86" s="158">
        <f t="shared" si="35"/>
        <v>0</v>
      </c>
      <c r="H86" s="159">
        <v>0</v>
      </c>
    </row>
    <row r="87" spans="1:11" s="160" customFormat="1" ht="20.25" hidden="1" customHeight="1" x14ac:dyDescent="0.2">
      <c r="A87" s="156" t="str">
        <f>A68</f>
        <v>Тип дома</v>
      </c>
      <c r="B87" s="157">
        <f t="shared" ref="B87:G87" si="36">B69/$H$69*$H$87</f>
        <v>0</v>
      </c>
      <c r="C87" s="158">
        <f t="shared" si="36"/>
        <v>0</v>
      </c>
      <c r="D87" s="158">
        <f t="shared" si="36"/>
        <v>0</v>
      </c>
      <c r="E87" s="158">
        <f t="shared" si="36"/>
        <v>0</v>
      </c>
      <c r="F87" s="158">
        <f t="shared" si="36"/>
        <v>0</v>
      </c>
      <c r="G87" s="158">
        <f t="shared" si="36"/>
        <v>0</v>
      </c>
      <c r="H87" s="159">
        <v>0</v>
      </c>
    </row>
    <row r="88" spans="1:11" s="309" customFormat="1" ht="20.25" hidden="1" customHeight="1" x14ac:dyDescent="0.2">
      <c r="A88" s="307" t="str">
        <f>A70</f>
        <v>Вид из окон</v>
      </c>
      <c r="B88" s="157">
        <f t="shared" ref="B88:G88" si="37">B71/$H$71*$H$88</f>
        <v>0</v>
      </c>
      <c r="C88" s="158">
        <f t="shared" si="37"/>
        <v>0</v>
      </c>
      <c r="D88" s="158">
        <f t="shared" si="37"/>
        <v>0</v>
      </c>
      <c r="E88" s="158">
        <f t="shared" si="37"/>
        <v>0</v>
      </c>
      <c r="F88" s="158">
        <f t="shared" si="37"/>
        <v>0</v>
      </c>
      <c r="G88" s="158">
        <f t="shared" si="37"/>
        <v>0</v>
      </c>
      <c r="H88" s="308">
        <v>0</v>
      </c>
    </row>
    <row r="89" spans="1:11" s="160" customFormat="1" ht="17.25" hidden="1" customHeight="1" x14ac:dyDescent="0.2">
      <c r="A89" s="156" t="str">
        <f>A72</f>
        <v>Планировка</v>
      </c>
      <c r="B89" s="157">
        <f t="shared" ref="B89:G89" si="38">B73/$H$73*$H$89</f>
        <v>0</v>
      </c>
      <c r="C89" s="158">
        <f t="shared" si="38"/>
        <v>0</v>
      </c>
      <c r="D89" s="158">
        <f t="shared" si="38"/>
        <v>0</v>
      </c>
      <c r="E89" s="158">
        <f t="shared" si="38"/>
        <v>0</v>
      </c>
      <c r="F89" s="158">
        <f t="shared" si="38"/>
        <v>0</v>
      </c>
      <c r="G89" s="158">
        <f t="shared" si="38"/>
        <v>0</v>
      </c>
      <c r="H89" s="159">
        <v>0</v>
      </c>
    </row>
    <row r="90" spans="1:11" s="155" customFormat="1" ht="17.25" customHeight="1" x14ac:dyDescent="0.2">
      <c r="A90" s="151" t="str">
        <f>A74</f>
        <v>Наличие улучшений</v>
      </c>
      <c r="B90" s="152">
        <f t="shared" ref="B90:G90" si="39">B75/$H$75*$H$90</f>
        <v>0.1</v>
      </c>
      <c r="C90" s="153">
        <f t="shared" si="39"/>
        <v>0.05</v>
      </c>
      <c r="D90" s="153">
        <f t="shared" si="39"/>
        <v>0.1</v>
      </c>
      <c r="E90" s="153">
        <f t="shared" si="39"/>
        <v>0.1</v>
      </c>
      <c r="F90" s="153">
        <f t="shared" si="39"/>
        <v>0.1</v>
      </c>
      <c r="G90" s="153">
        <f t="shared" si="39"/>
        <v>0.1</v>
      </c>
      <c r="H90" s="154">
        <v>0.1</v>
      </c>
      <c r="I90" s="324"/>
    </row>
    <row r="91" spans="1:11" s="138" customFormat="1" ht="18" customHeight="1" thickBot="1" x14ac:dyDescent="0.25">
      <c r="A91" s="135" t="str">
        <f>A76</f>
        <v>Кухня</v>
      </c>
      <c r="B91" s="136">
        <f t="shared" ref="B91:G91" si="40">B77/$H$77*$H$91</f>
        <v>0.17499999999999999</v>
      </c>
      <c r="C91" s="137">
        <f t="shared" si="40"/>
        <v>0.35</v>
      </c>
      <c r="D91" s="137">
        <f t="shared" si="40"/>
        <v>0.17499999999999999</v>
      </c>
      <c r="E91" s="137">
        <f t="shared" si="40"/>
        <v>0.17499999999999999</v>
      </c>
      <c r="F91" s="137">
        <f t="shared" si="40"/>
        <v>0.17499999999999999</v>
      </c>
      <c r="G91" s="137">
        <f t="shared" si="40"/>
        <v>0.35</v>
      </c>
      <c r="H91" s="140">
        <v>0.35</v>
      </c>
    </row>
    <row r="92" spans="1:11" ht="28.5" customHeight="1" thickBot="1" x14ac:dyDescent="0.25">
      <c r="A92" s="45" t="s">
        <v>18</v>
      </c>
      <c r="B92" s="41">
        <f>SUM(B82:B91)</f>
        <v>0.82499999999999996</v>
      </c>
      <c r="C92" s="45">
        <f t="shared" ref="C92:H92" si="41">SUM(C82:C91)</f>
        <v>0.6333333333333333</v>
      </c>
      <c r="D92" s="45">
        <f t="shared" si="41"/>
        <v>0.82499999999999996</v>
      </c>
      <c r="E92" s="45">
        <f t="shared" si="41"/>
        <v>0.82499999999999996</v>
      </c>
      <c r="F92" s="45">
        <f t="shared" si="41"/>
        <v>0.7416666666666667</v>
      </c>
      <c r="G92" s="45">
        <f t="shared" si="41"/>
        <v>0.85</v>
      </c>
      <c r="H92" s="108">
        <f t="shared" si="41"/>
        <v>1</v>
      </c>
      <c r="K92" s="149"/>
    </row>
    <row r="93" spans="1:11" ht="30.75" customHeight="1" thickBot="1" x14ac:dyDescent="0.25">
      <c r="A93" s="46" t="str">
        <f>A42</f>
        <v xml:space="preserve">Скоррект. стоимость, руб./кв. м </v>
      </c>
      <c r="B93" s="42"/>
      <c r="C93" s="109">
        <f t="shared" ref="C93:G93" si="42">C55</f>
        <v>67436.797752808983</v>
      </c>
      <c r="D93" s="109">
        <f t="shared" si="42"/>
        <v>79812.280701754382</v>
      </c>
      <c r="E93" s="109">
        <f t="shared" si="42"/>
        <v>79701.666666666672</v>
      </c>
      <c r="F93" s="109">
        <f t="shared" si="42"/>
        <v>75258.620689655174</v>
      </c>
      <c r="G93" s="109">
        <f t="shared" si="42"/>
        <v>75654.596100278548</v>
      </c>
      <c r="H93" s="110"/>
      <c r="J93" s="150">
        <f>CORREL(C92:G92,C93:G93)</f>
        <v>0.88439733139113752</v>
      </c>
      <c r="K93" s="279"/>
    </row>
    <row r="94" spans="1:11" ht="11.25" customHeight="1" x14ac:dyDescent="0.2">
      <c r="B94" s="31"/>
      <c r="C94" s="111"/>
      <c r="D94" s="111"/>
      <c r="E94" s="111"/>
    </row>
    <row r="95" spans="1:11" ht="15.75" customHeight="1" thickBot="1" x14ac:dyDescent="0.25">
      <c r="B95" s="31"/>
      <c r="C95" s="112"/>
      <c r="D95" s="112"/>
      <c r="E95" s="112"/>
    </row>
    <row r="96" spans="1:11" ht="36" customHeight="1" thickBot="1" x14ac:dyDescent="0.25">
      <c r="B96" s="31"/>
      <c r="C96" s="111"/>
      <c r="D96" s="111"/>
      <c r="E96" s="111"/>
      <c r="J96" s="280"/>
    </row>
    <row r="97" spans="1:5" ht="15.75" customHeight="1" x14ac:dyDescent="0.2">
      <c r="A97" s="123"/>
      <c r="B97" s="32"/>
      <c r="C97" s="111"/>
      <c r="D97" s="111"/>
      <c r="E97" s="111"/>
    </row>
    <row r="98" spans="1:5" ht="15.75" customHeight="1" x14ac:dyDescent="0.2">
      <c r="A98" s="123"/>
      <c r="B98" s="32"/>
      <c r="C98" s="111"/>
      <c r="D98" s="111"/>
      <c r="E98" s="111"/>
    </row>
    <row r="99" spans="1:5" ht="15.75" customHeight="1" x14ac:dyDescent="0.2">
      <c r="A99" s="123"/>
      <c r="B99" s="27"/>
    </row>
    <row r="100" spans="1:5" ht="15.75" customHeight="1" x14ac:dyDescent="0.2">
      <c r="A100" s="123"/>
      <c r="B100" s="27"/>
    </row>
    <row r="101" spans="1:5" ht="15.75" customHeight="1" x14ac:dyDescent="0.2">
      <c r="A101" s="123"/>
      <c r="B101" s="27"/>
    </row>
    <row r="102" spans="1:5" ht="15.75" customHeight="1" x14ac:dyDescent="0.2">
      <c r="A102" s="123"/>
      <c r="B102" s="27"/>
    </row>
    <row r="103" spans="1:5" ht="15.75" customHeight="1" x14ac:dyDescent="0.2">
      <c r="A103" s="123"/>
      <c r="B103" s="27"/>
      <c r="C103" s="25"/>
      <c r="D103" s="25"/>
      <c r="E103" s="25"/>
    </row>
    <row r="104" spans="1:5" ht="15.75" customHeight="1" x14ac:dyDescent="0.2">
      <c r="A104" s="123"/>
      <c r="B104" s="32"/>
      <c r="C104" s="25"/>
      <c r="D104" s="25"/>
      <c r="E104" s="25"/>
    </row>
    <row r="105" spans="1:5" ht="15.75" customHeight="1" x14ac:dyDescent="0.2">
      <c r="A105" s="123"/>
      <c r="B105" s="32"/>
      <c r="C105" s="25"/>
      <c r="D105" s="25"/>
      <c r="E105" s="25"/>
    </row>
    <row r="106" spans="1:5" ht="15.75" customHeight="1" x14ac:dyDescent="0.2">
      <c r="A106" s="123"/>
      <c r="B106" s="32"/>
      <c r="C106" s="25"/>
      <c r="D106" s="25"/>
      <c r="E106" s="25"/>
    </row>
    <row r="107" spans="1:5" ht="15.75" customHeight="1" x14ac:dyDescent="0.2">
      <c r="A107" s="123"/>
      <c r="B107" s="32"/>
      <c r="C107" s="25"/>
      <c r="D107" s="25"/>
      <c r="E107" s="25"/>
    </row>
    <row r="108" spans="1:5" ht="15.75" customHeight="1" x14ac:dyDescent="0.2">
      <c r="A108" s="125"/>
      <c r="B108" s="34"/>
      <c r="C108" s="33"/>
      <c r="D108" s="33"/>
      <c r="E108" s="33"/>
    </row>
    <row r="109" spans="1:5" ht="15.75" customHeight="1" x14ac:dyDescent="0.2">
      <c r="A109" s="123"/>
      <c r="B109" s="27"/>
      <c r="C109" s="25"/>
      <c r="D109" s="25"/>
      <c r="E109" s="25"/>
    </row>
    <row r="110" spans="1:5" ht="15.75" customHeight="1" x14ac:dyDescent="0.2">
      <c r="A110" s="123"/>
      <c r="B110" s="27"/>
      <c r="C110" s="25"/>
      <c r="D110" s="25"/>
      <c r="E110" s="25"/>
    </row>
    <row r="111" spans="1:5" ht="15.75" customHeight="1" x14ac:dyDescent="0.2">
      <c r="A111" s="123"/>
      <c r="B111" s="27"/>
      <c r="C111" s="25"/>
      <c r="D111" s="25"/>
      <c r="E111" s="25"/>
    </row>
    <row r="112" spans="1:5" ht="15.75" customHeight="1" x14ac:dyDescent="0.2">
      <c r="A112" s="123"/>
      <c r="B112" s="27"/>
      <c r="C112" s="25"/>
      <c r="D112" s="25"/>
      <c r="E112" s="25"/>
    </row>
    <row r="113" spans="1:5" ht="15.75" customHeight="1" x14ac:dyDescent="0.2">
      <c r="A113" s="123"/>
      <c r="B113" s="27"/>
      <c r="C113" s="25"/>
      <c r="D113" s="25"/>
      <c r="E113" s="25"/>
    </row>
    <row r="114" spans="1:5" ht="15.75" customHeight="1" x14ac:dyDescent="0.2">
      <c r="A114" s="123"/>
      <c r="B114" s="27"/>
      <c r="C114" s="25"/>
      <c r="D114" s="25"/>
      <c r="E114" s="25"/>
    </row>
    <row r="115" spans="1:5" ht="15.75" customHeight="1" x14ac:dyDescent="0.2">
      <c r="A115" s="123"/>
      <c r="B115" s="26"/>
      <c r="C115" s="113"/>
      <c r="D115" s="113"/>
      <c r="E115" s="113"/>
    </row>
    <row r="116" spans="1:5" ht="15.75" customHeight="1" x14ac:dyDescent="0.2">
      <c r="A116" s="125"/>
      <c r="B116" s="34"/>
      <c r="C116" s="33"/>
      <c r="D116" s="33"/>
      <c r="E116" s="33"/>
    </row>
    <row r="117" spans="1:5" ht="15.75" customHeight="1" x14ac:dyDescent="0.2">
      <c r="A117" s="123"/>
      <c r="B117" s="27"/>
      <c r="C117" s="25"/>
      <c r="D117" s="25"/>
      <c r="E117" s="25"/>
    </row>
    <row r="118" spans="1:5" ht="15.75" customHeight="1" x14ac:dyDescent="0.2">
      <c r="A118" s="123"/>
      <c r="B118" s="27"/>
      <c r="C118" s="25"/>
      <c r="D118" s="25"/>
      <c r="E118" s="25"/>
    </row>
    <row r="119" spans="1:5" ht="15.75" customHeight="1" x14ac:dyDescent="0.2">
      <c r="A119" s="123"/>
      <c r="B119" s="27"/>
      <c r="C119" s="25"/>
      <c r="D119" s="25"/>
      <c r="E119" s="25"/>
    </row>
    <row r="120" spans="1:5" ht="15.75" customHeight="1" x14ac:dyDescent="0.2">
      <c r="A120" s="123"/>
      <c r="B120" s="27"/>
      <c r="C120" s="25"/>
      <c r="D120" s="25"/>
      <c r="E120" s="25"/>
    </row>
    <row r="121" spans="1:5" ht="15.75" customHeight="1" x14ac:dyDescent="0.2">
      <c r="A121" s="123"/>
      <c r="B121" s="27"/>
      <c r="C121" s="25"/>
      <c r="D121" s="25"/>
      <c r="E121" s="25"/>
    </row>
    <row r="122" spans="1:5" ht="15.75" customHeight="1" x14ac:dyDescent="0.2">
      <c r="A122" s="123"/>
      <c r="B122" s="27"/>
      <c r="C122" s="25"/>
      <c r="D122" s="25"/>
      <c r="E122" s="25"/>
    </row>
    <row r="123" spans="1:5" ht="15.75" customHeight="1" x14ac:dyDescent="0.2">
      <c r="A123" s="123"/>
      <c r="B123" s="27"/>
      <c r="C123" s="25"/>
      <c r="D123" s="25"/>
      <c r="E123" s="25"/>
    </row>
    <row r="124" spans="1:5" ht="15.75" customHeight="1" x14ac:dyDescent="0.2">
      <c r="A124" s="123"/>
      <c r="B124" s="27"/>
      <c r="C124" s="25"/>
      <c r="D124" s="25"/>
      <c r="E124" s="25"/>
    </row>
    <row r="125" spans="1:5" ht="15.75" customHeight="1" x14ac:dyDescent="0.2">
      <c r="A125" s="123"/>
      <c r="B125" s="27"/>
      <c r="C125" s="25"/>
      <c r="D125" s="25"/>
      <c r="E125" s="25"/>
    </row>
    <row r="126" spans="1:5" ht="15.75" customHeight="1" x14ac:dyDescent="0.2">
      <c r="A126" s="123"/>
      <c r="B126" s="27"/>
      <c r="C126" s="25"/>
      <c r="D126" s="25"/>
      <c r="E126" s="25"/>
    </row>
    <row r="127" spans="1:5" ht="15.75" customHeight="1" x14ac:dyDescent="0.2">
      <c r="A127" s="123"/>
      <c r="B127" s="27"/>
      <c r="C127" s="25"/>
      <c r="D127" s="25"/>
      <c r="E127" s="25"/>
    </row>
    <row r="128" spans="1:5" ht="15.75" customHeight="1" x14ac:dyDescent="0.2">
      <c r="A128" s="125"/>
      <c r="B128" s="34"/>
      <c r="C128" s="33"/>
      <c r="D128" s="33"/>
      <c r="E128" s="33"/>
    </row>
    <row r="129" spans="1:5" ht="15.75" customHeight="1" x14ac:dyDescent="0.2">
      <c r="A129" s="123"/>
      <c r="B129" s="27"/>
      <c r="C129" s="25"/>
      <c r="D129" s="25"/>
      <c r="E129" s="25"/>
    </row>
    <row r="130" spans="1:5" ht="15.75" customHeight="1" x14ac:dyDescent="0.2">
      <c r="A130" s="123"/>
      <c r="B130" s="27"/>
      <c r="C130" s="25"/>
      <c r="D130" s="25"/>
      <c r="E130" s="25"/>
    </row>
    <row r="131" spans="1:5" ht="15.75" customHeight="1" x14ac:dyDescent="0.2">
      <c r="A131" s="123"/>
      <c r="B131" s="35"/>
      <c r="C131" s="114"/>
      <c r="D131" s="114"/>
      <c r="E131" s="114"/>
    </row>
    <row r="132" spans="1:5" ht="15.75" customHeight="1" x14ac:dyDescent="0.2">
      <c r="A132" s="123"/>
      <c r="B132" s="27"/>
      <c r="C132" s="25"/>
      <c r="D132" s="25"/>
      <c r="E132" s="25"/>
    </row>
    <row r="133" spans="1:5" ht="15.75" customHeight="1" x14ac:dyDescent="0.2">
      <c r="A133" s="123"/>
      <c r="B133" s="27"/>
      <c r="C133" s="25"/>
      <c r="D133" s="25"/>
      <c r="E133" s="25"/>
    </row>
    <row r="134" spans="1:5" ht="15.75" customHeight="1" x14ac:dyDescent="0.2">
      <c r="A134" s="123"/>
      <c r="B134" s="27"/>
      <c r="C134" s="25"/>
      <c r="D134" s="25"/>
      <c r="E134" s="25"/>
    </row>
    <row r="135" spans="1:5" ht="15.75" customHeight="1" x14ac:dyDescent="0.2">
      <c r="A135" s="123"/>
      <c r="B135" s="35"/>
      <c r="C135" s="114"/>
      <c r="D135" s="114"/>
      <c r="E135" s="114"/>
    </row>
    <row r="136" spans="1:5" ht="15.75" customHeight="1" x14ac:dyDescent="0.2">
      <c r="A136" s="123"/>
      <c r="B136" s="27"/>
      <c r="C136" s="25"/>
      <c r="D136" s="25"/>
      <c r="E136" s="25"/>
    </row>
    <row r="137" spans="1:5" ht="15.75" customHeight="1" x14ac:dyDescent="0.2">
      <c r="A137" s="123"/>
      <c r="B137" s="26"/>
      <c r="C137" s="113"/>
      <c r="D137" s="113"/>
      <c r="E137" s="113"/>
    </row>
    <row r="138" spans="1:5" ht="15.75" customHeight="1" x14ac:dyDescent="0.2">
      <c r="A138" s="123"/>
      <c r="B138" s="26"/>
      <c r="C138" s="113"/>
      <c r="D138" s="113"/>
      <c r="E138" s="113"/>
    </row>
    <row r="139" spans="1:5" ht="15.75" customHeight="1" x14ac:dyDescent="0.2">
      <c r="A139" s="123"/>
      <c r="B139" s="26"/>
      <c r="C139" s="113"/>
      <c r="D139" s="113"/>
      <c r="E139" s="113"/>
    </row>
    <row r="140" spans="1:5" ht="15.75" customHeight="1" x14ac:dyDescent="0.2">
      <c r="A140" s="123"/>
      <c r="B140" s="27"/>
      <c r="C140" s="25"/>
      <c r="D140" s="25"/>
      <c r="E140" s="25"/>
    </row>
    <row r="141" spans="1:5" ht="15.75" customHeight="1" x14ac:dyDescent="0.2">
      <c r="A141" s="123"/>
      <c r="B141" s="27"/>
      <c r="C141" s="25"/>
      <c r="D141" s="25"/>
      <c r="E141" s="25"/>
    </row>
    <row r="142" spans="1:5" ht="15.75" customHeight="1" x14ac:dyDescent="0.2">
      <c r="A142" s="123"/>
      <c r="B142" s="27"/>
      <c r="C142" s="25"/>
      <c r="D142" s="25"/>
      <c r="E142" s="25"/>
    </row>
    <row r="143" spans="1:5" ht="15.75" customHeight="1" x14ac:dyDescent="0.2">
      <c r="A143" s="123"/>
      <c r="B143" s="27"/>
      <c r="C143" s="25"/>
      <c r="D143" s="25"/>
      <c r="E143" s="25"/>
    </row>
    <row r="144" spans="1:5" ht="15.75" customHeight="1" x14ac:dyDescent="0.2">
      <c r="A144" s="123"/>
      <c r="B144" s="27"/>
      <c r="C144" s="25"/>
      <c r="D144" s="25"/>
      <c r="E144" s="25"/>
    </row>
    <row r="145" spans="1:5" ht="15.75" customHeight="1" x14ac:dyDescent="0.2">
      <c r="A145" s="123"/>
      <c r="B145" s="27"/>
      <c r="C145" s="25"/>
      <c r="D145" s="25"/>
      <c r="E145" s="25"/>
    </row>
    <row r="146" spans="1:5" ht="15.75" customHeight="1" x14ac:dyDescent="0.2">
      <c r="A146" s="123"/>
      <c r="B146" s="27"/>
      <c r="C146" s="25"/>
      <c r="D146" s="25"/>
      <c r="E146" s="25"/>
    </row>
    <row r="147" spans="1:5" ht="15.75" customHeight="1" x14ac:dyDescent="0.2">
      <c r="A147" s="123"/>
      <c r="B147" s="27"/>
      <c r="C147" s="25"/>
      <c r="D147" s="25"/>
      <c r="E147" s="25"/>
    </row>
    <row r="148" spans="1:5" ht="15.75" customHeight="1" x14ac:dyDescent="0.2">
      <c r="A148" s="123"/>
      <c r="B148" s="27"/>
      <c r="C148" s="25"/>
      <c r="D148" s="25"/>
      <c r="E148" s="25"/>
    </row>
    <row r="149" spans="1:5" ht="15.75" customHeight="1" x14ac:dyDescent="0.2">
      <c r="A149" s="123"/>
      <c r="B149" s="27"/>
      <c r="C149" s="25"/>
      <c r="D149" s="25"/>
      <c r="E149" s="25"/>
    </row>
    <row r="150" spans="1:5" ht="15.75" customHeight="1" x14ac:dyDescent="0.2">
      <c r="A150" s="123"/>
      <c r="B150" s="27"/>
      <c r="C150" s="25"/>
      <c r="D150" s="25"/>
      <c r="E150" s="25"/>
    </row>
    <row r="151" spans="1:5" ht="15.75" customHeight="1" x14ac:dyDescent="0.2">
      <c r="A151" s="123"/>
      <c r="B151" s="27"/>
      <c r="C151" s="25"/>
      <c r="D151" s="25"/>
      <c r="E151" s="25"/>
    </row>
    <row r="152" spans="1:5" ht="15.75" customHeight="1" x14ac:dyDescent="0.2">
      <c r="A152" s="123"/>
      <c r="B152" s="27"/>
      <c r="C152" s="25"/>
      <c r="D152" s="25"/>
      <c r="E152" s="25"/>
    </row>
    <row r="153" spans="1:5" ht="15.75" customHeight="1" x14ac:dyDescent="0.2">
      <c r="A153" s="123"/>
      <c r="B153" s="27"/>
      <c r="C153" s="25"/>
      <c r="D153" s="25"/>
      <c r="E153" s="25"/>
    </row>
    <row r="154" spans="1:5" ht="15.75" customHeight="1" x14ac:dyDescent="0.2">
      <c r="A154" s="123"/>
      <c r="B154" s="27"/>
      <c r="C154" s="25"/>
      <c r="D154" s="25"/>
      <c r="E154" s="25"/>
    </row>
    <row r="155" spans="1:5" ht="15.75" customHeight="1" x14ac:dyDescent="0.2">
      <c r="A155" s="123"/>
      <c r="B155" s="27"/>
      <c r="C155" s="25"/>
      <c r="D155" s="25"/>
      <c r="E155" s="25"/>
    </row>
    <row r="156" spans="1:5" ht="15.75" customHeight="1" x14ac:dyDescent="0.2">
      <c r="A156" s="123"/>
      <c r="B156" s="27"/>
      <c r="C156" s="25"/>
      <c r="D156" s="25"/>
      <c r="E156" s="25"/>
    </row>
    <row r="157" spans="1:5" ht="15.75" customHeight="1" x14ac:dyDescent="0.2">
      <c r="A157" s="123"/>
      <c r="B157" s="27"/>
      <c r="C157" s="25"/>
      <c r="D157" s="25"/>
      <c r="E157" s="25"/>
    </row>
    <row r="158" spans="1:5" ht="15.75" customHeight="1" x14ac:dyDescent="0.2">
      <c r="A158" s="123"/>
      <c r="B158" s="27"/>
      <c r="C158" s="25"/>
      <c r="D158" s="25"/>
      <c r="E158" s="25"/>
    </row>
    <row r="159" spans="1:5" ht="15.75" customHeight="1" x14ac:dyDescent="0.2">
      <c r="A159" s="123"/>
      <c r="B159" s="27"/>
      <c r="C159" s="25"/>
      <c r="D159" s="25"/>
      <c r="E159" s="25"/>
    </row>
    <row r="160" spans="1:5" ht="15.75" customHeight="1" x14ac:dyDescent="0.2">
      <c r="A160" s="123"/>
      <c r="B160" s="27"/>
      <c r="C160" s="25"/>
      <c r="D160" s="25"/>
      <c r="E160" s="25"/>
    </row>
    <row r="161" spans="1:5" ht="15.75" customHeight="1" x14ac:dyDescent="0.2">
      <c r="A161" s="123"/>
      <c r="B161" s="27"/>
      <c r="C161" s="25"/>
      <c r="D161" s="25"/>
      <c r="E161" s="25"/>
    </row>
    <row r="162" spans="1:5" ht="15.75" customHeight="1" x14ac:dyDescent="0.2">
      <c r="A162" s="123"/>
      <c r="B162" s="27"/>
      <c r="C162" s="25"/>
      <c r="D162" s="25"/>
      <c r="E162" s="25"/>
    </row>
    <row r="163" spans="1:5" ht="15.75" customHeight="1" x14ac:dyDescent="0.2">
      <c r="A163" s="123"/>
      <c r="B163" s="27"/>
      <c r="C163" s="25"/>
      <c r="D163" s="25"/>
      <c r="E163" s="25"/>
    </row>
    <row r="164" spans="1:5" ht="15.75" customHeight="1" x14ac:dyDescent="0.2">
      <c r="A164" s="123"/>
      <c r="B164" s="27"/>
      <c r="C164" s="55"/>
      <c r="D164" s="55"/>
      <c r="E164" s="55"/>
    </row>
    <row r="165" spans="1:5" ht="15.75" customHeight="1" x14ac:dyDescent="0.2">
      <c r="A165" s="123"/>
      <c r="B165" s="27"/>
      <c r="C165" s="25"/>
      <c r="D165" s="25"/>
      <c r="E165" s="25"/>
    </row>
    <row r="166" spans="1:5" ht="15.75" customHeight="1" x14ac:dyDescent="0.2">
      <c r="A166" s="123"/>
      <c r="B166" s="36"/>
      <c r="C166" s="115"/>
      <c r="D166" s="115"/>
      <c r="E166" s="115"/>
    </row>
    <row r="167" spans="1:5" ht="15.75" customHeight="1" x14ac:dyDescent="0.2">
      <c r="A167" s="123"/>
      <c r="B167" s="27"/>
      <c r="C167" s="25"/>
      <c r="D167" s="25"/>
      <c r="E167" s="25"/>
    </row>
    <row r="168" spans="1:5" ht="15.75" customHeight="1" x14ac:dyDescent="0.2">
      <c r="A168" s="123"/>
      <c r="B168" s="27"/>
      <c r="C168" s="25"/>
      <c r="D168" s="25"/>
      <c r="E168" s="25"/>
    </row>
    <row r="169" spans="1:5" ht="15.75" customHeight="1" x14ac:dyDescent="0.2">
      <c r="A169" s="123"/>
      <c r="B169" s="27"/>
      <c r="C169" s="25"/>
      <c r="D169" s="25"/>
      <c r="E169" s="25"/>
    </row>
    <row r="170" spans="1:5" ht="15.75" customHeight="1" x14ac:dyDescent="0.2">
      <c r="A170" s="123"/>
      <c r="B170" s="27"/>
      <c r="C170" s="25"/>
      <c r="D170" s="25"/>
      <c r="E170" s="25"/>
    </row>
    <row r="171" spans="1:5" ht="15.75" customHeight="1" x14ac:dyDescent="0.2">
      <c r="A171" s="123"/>
      <c r="B171" s="27"/>
      <c r="C171" s="25"/>
      <c r="D171" s="25"/>
      <c r="E171" s="25"/>
    </row>
    <row r="172" spans="1:5" ht="15.75" customHeight="1" x14ac:dyDescent="0.2">
      <c r="A172" s="123"/>
      <c r="B172" s="27"/>
      <c r="C172" s="25"/>
      <c r="D172" s="25"/>
      <c r="E172" s="25"/>
    </row>
    <row r="173" spans="1:5" ht="15.75" customHeight="1" x14ac:dyDescent="0.2">
      <c r="A173" s="123"/>
      <c r="B173" s="27"/>
      <c r="C173" s="25"/>
      <c r="D173" s="25"/>
      <c r="E173" s="25"/>
    </row>
    <row r="174" spans="1:5" ht="15.75" customHeight="1" x14ac:dyDescent="0.2">
      <c r="A174" s="123"/>
      <c r="B174" s="27"/>
      <c r="C174" s="25"/>
      <c r="D174" s="25"/>
      <c r="E174" s="25"/>
    </row>
    <row r="175" spans="1:5" ht="15.75" customHeight="1" x14ac:dyDescent="0.2">
      <c r="A175" s="123"/>
      <c r="B175" s="27"/>
      <c r="C175" s="25"/>
      <c r="D175" s="25"/>
      <c r="E175" s="25"/>
    </row>
    <row r="176" spans="1:5" ht="15.75" customHeight="1" x14ac:dyDescent="0.2">
      <c r="A176" s="123"/>
      <c r="B176" s="27"/>
      <c r="C176" s="25"/>
      <c r="D176" s="25"/>
      <c r="E176" s="25"/>
    </row>
  </sheetData>
  <mergeCells count="1">
    <mergeCell ref="A79:E79"/>
  </mergeCells>
  <phoneticPr fontId="0" type="noConversion"/>
  <printOptions horizontalCentered="1" verticalCentered="1"/>
  <pageMargins left="7.874015748031496E-2" right="7.874015748031496E-2" top="0.19685039370078741" bottom="0.19685039370078741" header="0.51181102362204722" footer="0.51181102362204722"/>
  <pageSetup paperSize="9" scale="44" fitToHeight="2" orientation="landscape" r:id="rId1"/>
  <headerFooter alignWithMargins="0"/>
  <rowBreaks count="1" manualBreakCount="1">
    <brk id="46" max="25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4A1B1A"/>
  </sheetPr>
  <dimension ref="A1:O57"/>
  <sheetViews>
    <sheetView showGridLines="0" tabSelected="1" view="pageBreakPreview" zoomScale="75" zoomScaleNormal="75" zoomScaleSheetLayoutView="100" workbookViewId="0">
      <selection activeCell="K14" sqref="K14"/>
    </sheetView>
  </sheetViews>
  <sheetFormatPr defaultRowHeight="15" x14ac:dyDescent="0.25"/>
  <cols>
    <col min="1" max="1" width="13" style="1" customWidth="1"/>
    <col min="2" max="2" width="14" style="1" bestFit="1" customWidth="1"/>
    <col min="3" max="3" width="22.7109375" style="1" bestFit="1" customWidth="1"/>
    <col min="4" max="4" width="7.5703125" style="1" customWidth="1"/>
    <col min="5" max="5" width="13.28515625" style="1" customWidth="1"/>
    <col min="6" max="6" width="10.42578125" style="1" customWidth="1"/>
    <col min="7" max="8" width="9.140625" style="1"/>
    <col min="9" max="9" width="15.7109375" style="1" customWidth="1"/>
    <col min="10" max="10" width="29.7109375" style="1" customWidth="1"/>
    <col min="11" max="12" width="10" style="1" customWidth="1"/>
    <col min="13" max="13" width="14.85546875" style="1" customWidth="1"/>
    <col min="14" max="14" width="12.85546875" style="1" customWidth="1"/>
    <col min="15" max="16384" width="9.140625" style="1"/>
  </cols>
  <sheetData>
    <row r="1" spans="1:14" ht="38.25" customHeight="1" x14ac:dyDescent="0.25">
      <c r="A1" s="244"/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</row>
    <row r="2" spans="1:14" ht="43.5" thickBot="1" x14ac:dyDescent="0.3">
      <c r="A2" s="141" t="s">
        <v>17</v>
      </c>
      <c r="B2" s="142" t="s">
        <v>6</v>
      </c>
      <c r="C2" s="141" t="str">
        <f>'Таблицы расч'!A93</f>
        <v xml:space="preserve">Скоррект. стоимость, руб./кв. м </v>
      </c>
      <c r="F2" s="2"/>
      <c r="G2" s="2"/>
      <c r="H2" s="2"/>
      <c r="I2" s="2"/>
      <c r="J2" s="2"/>
      <c r="K2" s="2"/>
      <c r="L2" s="2"/>
      <c r="M2" s="3"/>
    </row>
    <row r="3" spans="1:14" ht="15.95" customHeight="1" x14ac:dyDescent="0.25">
      <c r="A3" s="132">
        <v>1</v>
      </c>
      <c r="B3" s="133">
        <f>'Таблицы расч'!C92</f>
        <v>0.6333333333333333</v>
      </c>
      <c r="C3" s="134">
        <f>'Таблицы расч'!C93</f>
        <v>67436.797752808983</v>
      </c>
      <c r="D3" s="311" t="str">
        <f>TEXT(B3,"0,00")</f>
        <v>0,63</v>
      </c>
      <c r="E3" s="311" t="str">
        <f t="shared" ref="D3:E6" si="0">TEXT(C3,"0,00")</f>
        <v>67436,80</v>
      </c>
      <c r="F3" s="2"/>
      <c r="G3" s="4" t="s">
        <v>19</v>
      </c>
      <c r="H3" s="5"/>
      <c r="I3" s="6"/>
      <c r="J3" s="144"/>
      <c r="K3" s="485">
        <f>'Таблицы расч'!B92</f>
        <v>0.82499999999999996</v>
      </c>
      <c r="L3" s="486"/>
      <c r="M3" s="252"/>
    </row>
    <row r="4" spans="1:14" ht="15.95" customHeight="1" x14ac:dyDescent="0.3">
      <c r="A4" s="132">
        <f t="shared" ref="A4:A7" si="1">A3+1</f>
        <v>2</v>
      </c>
      <c r="B4" s="133">
        <f>'Таблицы расч'!D92</f>
        <v>0.82499999999999996</v>
      </c>
      <c r="C4" s="134">
        <f>'Таблицы расч'!D93</f>
        <v>79812.280701754382</v>
      </c>
      <c r="D4" s="311" t="str">
        <f t="shared" si="0"/>
        <v>0,83</v>
      </c>
      <c r="E4" s="311" t="str">
        <f t="shared" si="0"/>
        <v>79812,28</v>
      </c>
      <c r="F4" s="2"/>
      <c r="G4" s="7"/>
      <c r="H4" s="8"/>
      <c r="I4" s="9"/>
      <c r="J4" s="145"/>
      <c r="K4" s="489"/>
      <c r="L4" s="490"/>
      <c r="M4" s="253"/>
    </row>
    <row r="5" spans="1:14" ht="15.95" customHeight="1" x14ac:dyDescent="0.3">
      <c r="A5" s="132">
        <f t="shared" si="1"/>
        <v>3</v>
      </c>
      <c r="B5" s="133">
        <f>'Таблицы расч'!E92</f>
        <v>0.82499999999999996</v>
      </c>
      <c r="C5" s="134">
        <f>'Таблицы расч'!E93</f>
        <v>79701.666666666672</v>
      </c>
      <c r="D5" s="311" t="str">
        <f t="shared" si="0"/>
        <v>0,83</v>
      </c>
      <c r="E5" s="311" t="str">
        <f t="shared" si="0"/>
        <v>79701,67</v>
      </c>
      <c r="G5" s="7" t="s">
        <v>43</v>
      </c>
      <c r="H5" s="8"/>
      <c r="I5" s="2"/>
      <c r="J5" s="12"/>
      <c r="K5" s="487">
        <f>TREND(C3:C7,B3:B7,K3)</f>
        <v>78068.622136250138</v>
      </c>
      <c r="L5" s="488"/>
      <c r="M5" s="254">
        <f>K5</f>
        <v>78068.622136250138</v>
      </c>
      <c r="N5" s="14">
        <f>K9/'Таблицы расч'!B4</f>
        <v>78048.780487804877</v>
      </c>
    </row>
    <row r="6" spans="1:14" ht="15.95" customHeight="1" x14ac:dyDescent="0.3">
      <c r="A6" s="132">
        <f t="shared" si="1"/>
        <v>4</v>
      </c>
      <c r="B6" s="133">
        <f>'Таблицы расч'!F92</f>
        <v>0.7416666666666667</v>
      </c>
      <c r="C6" s="134">
        <f>'Таблицы расч'!F93</f>
        <v>75258.620689655174</v>
      </c>
      <c r="D6" s="311" t="str">
        <f t="shared" si="0"/>
        <v>0,74</v>
      </c>
      <c r="E6" s="311" t="str">
        <f t="shared" si="0"/>
        <v>75258,62</v>
      </c>
      <c r="G6" s="7"/>
      <c r="H6" s="8"/>
      <c r="I6" s="9"/>
      <c r="J6" s="145"/>
      <c r="K6" s="489"/>
      <c r="L6" s="490"/>
      <c r="M6" s="255"/>
    </row>
    <row r="7" spans="1:14" ht="15.95" customHeight="1" x14ac:dyDescent="0.25">
      <c r="A7" s="132">
        <f t="shared" si="1"/>
        <v>5</v>
      </c>
      <c r="B7" s="133">
        <f>'Таблицы расч'!G92</f>
        <v>0.85</v>
      </c>
      <c r="C7" s="134">
        <f>'Таблицы расч'!G93</f>
        <v>75654.596100278548</v>
      </c>
      <c r="D7" s="311" t="str">
        <f>TEXT(B7,"0,0#")</f>
        <v>0,85</v>
      </c>
      <c r="E7" s="311" t="str">
        <f>TEXT(C7,"0,0#")</f>
        <v>75654,6</v>
      </c>
      <c r="G7" s="10" t="s">
        <v>42</v>
      </c>
      <c r="H7" s="11"/>
      <c r="I7" s="2"/>
      <c r="J7" s="12"/>
      <c r="K7" s="498">
        <f>K5*'Таблицы расч'!B4</f>
        <v>4481138.9106207574</v>
      </c>
      <c r="L7" s="499"/>
      <c r="M7" s="254">
        <f>K7</f>
        <v>4481138.9106207574</v>
      </c>
    </row>
    <row r="8" spans="1:14" ht="15.95" customHeight="1" x14ac:dyDescent="0.3">
      <c r="D8" s="2"/>
      <c r="F8" s="2"/>
      <c r="G8" s="7"/>
      <c r="H8" s="9"/>
      <c r="I8" s="9"/>
      <c r="J8" s="145"/>
      <c r="K8" s="489"/>
      <c r="L8" s="490"/>
      <c r="M8" s="256"/>
    </row>
    <row r="9" spans="1:14" ht="15.95" customHeight="1" x14ac:dyDescent="0.3">
      <c r="D9" s="2"/>
      <c r="F9" s="2"/>
      <c r="G9" s="146" t="s">
        <v>55</v>
      </c>
      <c r="H9" s="13"/>
      <c r="I9" s="2"/>
      <c r="J9" s="43"/>
      <c r="K9" s="498">
        <f>ROUND(K7,-4)</f>
        <v>4480000</v>
      </c>
      <c r="L9" s="499"/>
      <c r="M9" s="257">
        <f>K9</f>
        <v>4480000</v>
      </c>
    </row>
    <row r="10" spans="1:14" ht="15.95" customHeight="1" x14ac:dyDescent="0.3">
      <c r="D10" s="2"/>
      <c r="F10" s="2"/>
      <c r="G10" s="147"/>
      <c r="H10" s="143"/>
      <c r="I10" s="143"/>
      <c r="J10" s="148"/>
      <c r="K10" s="496"/>
      <c r="L10" s="497"/>
      <c r="M10" s="258"/>
    </row>
    <row r="11" spans="1:14" ht="16.5" customHeight="1" thickBot="1" x14ac:dyDescent="0.35">
      <c r="D11" s="2"/>
      <c r="F11" s="2"/>
      <c r="G11" s="491" t="s">
        <v>54</v>
      </c>
      <c r="H11" s="492"/>
      <c r="I11" s="492"/>
      <c r="J11" s="493"/>
      <c r="K11" s="494">
        <f>ROUND(K9/'Таблицы расч'!B4,0)</f>
        <v>78049</v>
      </c>
      <c r="L11" s="495"/>
      <c r="M11" s="259">
        <f>K11</f>
        <v>78049</v>
      </c>
    </row>
    <row r="12" spans="1:14" ht="21" customHeight="1" x14ac:dyDescent="0.25">
      <c r="D12" s="2"/>
      <c r="F12" s="2"/>
      <c r="G12" s="146"/>
      <c r="H12" s="217"/>
      <c r="I12" s="217"/>
      <c r="J12" s="218"/>
      <c r="K12" s="483"/>
      <c r="L12" s="484"/>
      <c r="M12" s="260"/>
    </row>
    <row r="13" spans="1:14" ht="18" customHeight="1" thickBot="1" x14ac:dyDescent="0.3">
      <c r="D13" s="2"/>
      <c r="G13" s="474" t="s">
        <v>58</v>
      </c>
      <c r="H13" s="475"/>
      <c r="I13" s="475"/>
      <c r="J13" s="476"/>
      <c r="K13" s="472">
        <f>ROUND(K9*0.9,-3)</f>
        <v>4032000</v>
      </c>
      <c r="L13" s="473"/>
      <c r="M13" s="254">
        <f>K13</f>
        <v>4032000</v>
      </c>
    </row>
    <row r="14" spans="1:14" ht="18" customHeight="1" thickBot="1" x14ac:dyDescent="0.3">
      <c r="D14" s="2"/>
      <c r="G14" s="298"/>
      <c r="H14" s="296"/>
      <c r="I14" s="296"/>
      <c r="J14" s="299"/>
      <c r="K14" s="297"/>
      <c r="L14" s="294"/>
      <c r="M14" s="254"/>
    </row>
    <row r="15" spans="1:14" ht="15.95" customHeight="1" thickBot="1" x14ac:dyDescent="0.3">
      <c r="D15" s="2"/>
      <c r="G15" s="469" t="s">
        <v>164</v>
      </c>
      <c r="H15" s="470"/>
      <c r="I15" s="470"/>
      <c r="J15" s="471"/>
      <c r="K15" s="472">
        <f>K9-K17</f>
        <v>4280000</v>
      </c>
      <c r="L15" s="473"/>
      <c r="M15" s="301">
        <f>K15</f>
        <v>4280000</v>
      </c>
    </row>
    <row r="16" spans="1:14" ht="15.95" customHeight="1" thickBot="1" x14ac:dyDescent="0.3">
      <c r="N16" s="303">
        <f>K17</f>
        <v>200000</v>
      </c>
    </row>
    <row r="17" spans="3:14" ht="15.95" customHeight="1" x14ac:dyDescent="0.25">
      <c r="G17" s="500" t="s">
        <v>163</v>
      </c>
      <c r="H17" s="501"/>
      <c r="I17" s="501"/>
      <c r="J17" s="501"/>
      <c r="K17" s="479">
        <v>200000</v>
      </c>
      <c r="L17" s="480"/>
      <c r="M17" s="303">
        <f>K17</f>
        <v>200000</v>
      </c>
    </row>
    <row r="18" spans="3:14" ht="15.95" hidden="1" customHeight="1" x14ac:dyDescent="0.25">
      <c r="G18" s="477"/>
      <c r="H18" s="478"/>
      <c r="I18" s="478"/>
      <c r="J18" s="478"/>
      <c r="K18" s="481"/>
      <c r="L18" s="482"/>
    </row>
    <row r="19" spans="3:14" ht="15.95" hidden="1" customHeight="1" x14ac:dyDescent="0.25">
      <c r="G19" s="477"/>
      <c r="H19" s="478"/>
      <c r="I19" s="478"/>
      <c r="J19" s="478"/>
      <c r="K19" s="481"/>
      <c r="L19" s="482"/>
    </row>
    <row r="20" spans="3:14" ht="15.95" hidden="1" customHeight="1" x14ac:dyDescent="0.25">
      <c r="G20" s="477"/>
      <c r="H20" s="478"/>
      <c r="I20" s="478"/>
      <c r="J20" s="478"/>
      <c r="K20" s="481"/>
      <c r="L20" s="482"/>
    </row>
    <row r="21" spans="3:14" ht="15.95" hidden="1" customHeight="1" x14ac:dyDescent="0.25">
      <c r="G21" s="477"/>
      <c r="H21" s="478"/>
      <c r="I21" s="478"/>
      <c r="J21" s="478"/>
      <c r="K21" s="481"/>
      <c r="L21" s="482"/>
    </row>
    <row r="22" spans="3:14" ht="15.95" hidden="1" customHeight="1" x14ac:dyDescent="0.25">
      <c r="G22" s="477"/>
      <c r="H22" s="478"/>
      <c r="I22" s="478"/>
      <c r="J22" s="478"/>
      <c r="K22" s="481"/>
      <c r="L22" s="482"/>
    </row>
    <row r="23" spans="3:14" ht="15.95" customHeight="1" x14ac:dyDescent="0.25">
      <c r="G23" s="477" t="s">
        <v>160</v>
      </c>
      <c r="H23" s="478"/>
      <c r="I23" s="478"/>
      <c r="J23" s="478"/>
      <c r="K23" s="481">
        <f>ROUND(K17-K17*0.07,-3)</f>
        <v>186000</v>
      </c>
      <c r="L23" s="482"/>
      <c r="N23" s="303">
        <f>K23</f>
        <v>186000</v>
      </c>
    </row>
    <row r="24" spans="3:14" ht="15.95" customHeight="1" thickBot="1" x14ac:dyDescent="0.3">
      <c r="F24" s="295"/>
      <c r="G24" s="465" t="s">
        <v>161</v>
      </c>
      <c r="H24" s="466"/>
      <c r="I24" s="466"/>
      <c r="J24" s="466"/>
      <c r="K24" s="467">
        <f>ROUND(K17+K17*0.03,-3)</f>
        <v>206000</v>
      </c>
      <c r="L24" s="468"/>
      <c r="N24" s="303">
        <f>K24</f>
        <v>206000</v>
      </c>
    </row>
    <row r="25" spans="3:14" ht="15.95" customHeight="1" thickBot="1" x14ac:dyDescent="0.3">
      <c r="G25" s="465" t="s">
        <v>162</v>
      </c>
      <c r="H25" s="466"/>
      <c r="I25" s="466"/>
      <c r="J25" s="466"/>
      <c r="K25" s="467">
        <f>ROUND(K17+K17*0.04,-3)</f>
        <v>208000</v>
      </c>
      <c r="L25" s="468"/>
      <c r="N25" s="303">
        <f>K25</f>
        <v>208000</v>
      </c>
    </row>
    <row r="26" spans="3:14" ht="15.95" customHeight="1" x14ac:dyDescent="0.25"/>
    <row r="27" spans="3:14" ht="15" customHeight="1" x14ac:dyDescent="0.25"/>
    <row r="28" spans="3:14" ht="15" customHeight="1" x14ac:dyDescent="0.35">
      <c r="C28" s="16"/>
    </row>
    <row r="29" spans="3:14" ht="15" customHeight="1" x14ac:dyDescent="0.35">
      <c r="C29" s="18"/>
    </row>
    <row r="30" spans="3:14" ht="15" customHeight="1" x14ac:dyDescent="0.35">
      <c r="C30" s="16"/>
    </row>
    <row r="31" spans="3:14" ht="15" customHeight="1" x14ac:dyDescent="0.3">
      <c r="C31" s="19"/>
    </row>
    <row r="32" spans="3:14" ht="15" customHeight="1" x14ac:dyDescent="0.35">
      <c r="C32" s="16"/>
      <c r="F32" s="2"/>
    </row>
    <row r="33" spans="3:6" ht="15" customHeight="1" x14ac:dyDescent="0.35">
      <c r="C33" s="16"/>
      <c r="F33" s="2"/>
    </row>
    <row r="34" spans="3:6" ht="15" customHeight="1" x14ac:dyDescent="0.35">
      <c r="C34" s="16"/>
      <c r="F34" s="2"/>
    </row>
    <row r="35" spans="3:6" ht="15" customHeight="1" x14ac:dyDescent="0.25">
      <c r="F35" s="2"/>
    </row>
    <row r="36" spans="3:6" ht="15" customHeight="1" x14ac:dyDescent="0.25"/>
    <row r="37" spans="3:6" ht="15" customHeight="1" x14ac:dyDescent="0.25"/>
    <row r="38" spans="3:6" ht="15" customHeight="1" x14ac:dyDescent="0.25"/>
    <row r="39" spans="3:6" ht="15" customHeight="1" x14ac:dyDescent="0.25"/>
    <row r="40" spans="3:6" ht="15" customHeight="1" x14ac:dyDescent="0.25"/>
    <row r="41" spans="3:6" ht="15" customHeight="1" x14ac:dyDescent="0.25"/>
    <row r="42" spans="3:6" ht="15" customHeight="1" x14ac:dyDescent="0.25"/>
    <row r="43" spans="3:6" ht="15" customHeight="1" x14ac:dyDescent="0.25"/>
    <row r="44" spans="3:6" ht="15" customHeight="1" x14ac:dyDescent="0.25"/>
    <row r="45" spans="3:6" ht="15" customHeight="1" x14ac:dyDescent="0.25"/>
    <row r="46" spans="3:6" ht="15" customHeight="1" x14ac:dyDescent="0.25"/>
    <row r="47" spans="3:6" ht="15" customHeight="1" x14ac:dyDescent="0.25"/>
    <row r="48" spans="3:6" ht="15" customHeight="1" x14ac:dyDescent="0.25"/>
    <row r="49" spans="4:15" ht="15" customHeight="1" x14ac:dyDescent="0.25"/>
    <row r="50" spans="4:15" ht="15" customHeight="1" x14ac:dyDescent="0.25"/>
    <row r="51" spans="4:15" ht="15" customHeight="1" x14ac:dyDescent="0.25"/>
    <row r="52" spans="4:15" ht="15" customHeight="1" x14ac:dyDescent="0.25">
      <c r="D52" s="15"/>
    </row>
    <row r="53" spans="4:15" ht="15" customHeight="1" x14ac:dyDescent="0.25"/>
    <row r="54" spans="4:15" ht="15" customHeight="1" x14ac:dyDescent="0.25">
      <c r="O54" s="17"/>
    </row>
    <row r="55" spans="4:15" ht="15" customHeight="1" x14ac:dyDescent="0.25"/>
    <row r="56" spans="4:15" ht="15" customHeight="1" x14ac:dyDescent="0.25"/>
    <row r="57" spans="4:15" ht="15" customHeight="1" x14ac:dyDescent="0.25"/>
  </sheetData>
  <mergeCells count="33">
    <mergeCell ref="K24:L24"/>
    <mergeCell ref="G17:J17"/>
    <mergeCell ref="G18:J18"/>
    <mergeCell ref="G19:J19"/>
    <mergeCell ref="G20:J20"/>
    <mergeCell ref="G21:J21"/>
    <mergeCell ref="K12:L12"/>
    <mergeCell ref="K3:L3"/>
    <mergeCell ref="K5:L5"/>
    <mergeCell ref="K4:L4"/>
    <mergeCell ref="G11:J11"/>
    <mergeCell ref="K11:L11"/>
    <mergeCell ref="K10:L10"/>
    <mergeCell ref="K6:L6"/>
    <mergeCell ref="K7:L7"/>
    <mergeCell ref="K9:L9"/>
    <mergeCell ref="K8:L8"/>
    <mergeCell ref="G25:J25"/>
    <mergeCell ref="K25:L25"/>
    <mergeCell ref="G15:J15"/>
    <mergeCell ref="K15:L15"/>
    <mergeCell ref="G13:J13"/>
    <mergeCell ref="K13:L13"/>
    <mergeCell ref="G22:J22"/>
    <mergeCell ref="G23:J23"/>
    <mergeCell ref="G24:J24"/>
    <mergeCell ref="K17:L17"/>
    <mergeCell ref="K18:L18"/>
    <mergeCell ref="K19:L19"/>
    <mergeCell ref="K20:L20"/>
    <mergeCell ref="K21:L21"/>
    <mergeCell ref="K22:L22"/>
    <mergeCell ref="K23:L23"/>
  </mergeCells>
  <phoneticPr fontId="0" type="noConversion"/>
  <printOptions horizontalCentered="1" verticalCentered="1"/>
  <pageMargins left="0.62992125984251968" right="0.47244094488188981" top="0.31496062992125984" bottom="0.15748031496062992" header="0.31496062992125984" footer="0.19685039370078741"/>
  <pageSetup paperSize="9" scale="63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69748"/>
  </sheetPr>
  <dimension ref="B1:DX4"/>
  <sheetViews>
    <sheetView topLeftCell="CN1" workbookViewId="0">
      <selection activeCell="CU3" sqref="CU3"/>
    </sheetView>
  </sheetViews>
  <sheetFormatPr defaultRowHeight="12.75" x14ac:dyDescent="0.25"/>
  <cols>
    <col min="1" max="2" width="9.140625" style="219"/>
    <col min="3" max="3" width="16.42578125" style="219" customWidth="1"/>
    <col min="4" max="4" width="17" style="219" customWidth="1"/>
    <col min="5" max="6" width="17.7109375" style="219" customWidth="1"/>
    <col min="7" max="7" width="20.85546875" style="219" customWidth="1"/>
    <col min="8" max="8" width="12.5703125" style="219" customWidth="1"/>
    <col min="9" max="9" width="10.28515625" style="219" customWidth="1"/>
    <col min="10" max="10" width="13.5703125" style="219" customWidth="1"/>
    <col min="11" max="12" width="9.140625" style="219"/>
    <col min="13" max="13" width="16.85546875" style="219" customWidth="1"/>
    <col min="14" max="14" width="26.85546875" style="219" customWidth="1"/>
    <col min="15" max="15" width="19.140625" style="219" customWidth="1"/>
    <col min="16" max="16" width="19" style="219" customWidth="1"/>
    <col min="17" max="18" width="22.140625" style="219" customWidth="1"/>
    <col min="19" max="19" width="12.42578125" style="219" customWidth="1"/>
    <col min="20" max="20" width="13.42578125" style="219" customWidth="1"/>
    <col min="21" max="21" width="11.140625" style="219" customWidth="1"/>
    <col min="22" max="23" width="9.140625" style="219"/>
    <col min="24" max="24" width="11.42578125" style="219" customWidth="1"/>
    <col min="25" max="25" width="12.85546875" style="219" customWidth="1"/>
    <col min="26" max="28" width="9.140625" style="219"/>
    <col min="29" max="29" width="12.85546875" style="219" customWidth="1"/>
    <col min="30" max="30" width="13.7109375" style="219" customWidth="1"/>
    <col min="31" max="31" width="21.5703125" style="219" customWidth="1"/>
    <col min="32" max="51" width="9.140625" style="219"/>
    <col min="52" max="52" width="15.28515625" style="219" customWidth="1"/>
    <col min="53" max="53" width="16.140625" style="219" customWidth="1"/>
    <col min="54" max="54" width="12.42578125" style="219" customWidth="1"/>
    <col min="55" max="58" width="9.140625" style="219"/>
    <col min="59" max="59" width="14.140625" style="219" customWidth="1"/>
    <col min="60" max="74" width="9.140625" style="219"/>
    <col min="75" max="77" width="11.5703125" style="219" bestFit="1" customWidth="1"/>
    <col min="78" max="78" width="9.28515625" style="219" bestFit="1" customWidth="1"/>
    <col min="79" max="79" width="11.5703125" style="219" bestFit="1" customWidth="1"/>
    <col min="80" max="80" width="9.140625" style="219"/>
    <col min="81" max="81" width="10" style="219" customWidth="1"/>
    <col min="82" max="82" width="10.42578125" style="219" customWidth="1"/>
    <col min="83" max="83" width="10.85546875" style="219" customWidth="1"/>
    <col min="84" max="84" width="12.140625" style="219" customWidth="1"/>
    <col min="85" max="16384" width="9.140625" style="219"/>
  </cols>
  <sheetData>
    <row r="1" spans="2:128" s="228" customFormat="1" ht="101.25" x14ac:dyDescent="0.2">
      <c r="B1" s="227" t="str">
        <f>Ввод!A3</f>
        <v>№ Договора</v>
      </c>
      <c r="C1" s="227" t="str">
        <f>Ввод!A4</f>
        <v>Дата договора</v>
      </c>
      <c r="D1" s="227" t="str">
        <f>Ввод!A5</f>
        <v>Дата осмотра</v>
      </c>
      <c r="E1" s="227" t="str">
        <f>Ввод!A6</f>
        <v>Дата выпуска отчета</v>
      </c>
      <c r="F1" s="227" t="s">
        <v>117</v>
      </c>
      <c r="G1" s="227" t="str">
        <f>Ввод!A8</f>
        <v>Адрес объекта оценки</v>
      </c>
      <c r="H1" s="227" t="str">
        <f>Ввод!A9</f>
        <v>Фамилия, инициалы Заказчика (кому)</v>
      </c>
      <c r="I1" s="227" t="str">
        <f>Ввод!A10</f>
        <v>Имя, отчество Заказчика</v>
      </c>
      <c r="J1" s="227" t="str">
        <f>Ввод!A11</f>
        <v>Паспортные данные Заказчика (паспорт + место регистрации)</v>
      </c>
      <c r="K1" s="227" t="str">
        <f>Ввод!A12</f>
        <v>Цель оценки</v>
      </c>
      <c r="L1" s="227" t="str">
        <f>Ввод!A13</f>
        <v>Для чего используется</v>
      </c>
      <c r="M1" s="227" t="str">
        <f>'Регресс. анализ'!G9</f>
        <v>Рыночная стоимость Объекта оценки, руб., округленно</v>
      </c>
      <c r="N1" s="227" t="s">
        <v>96</v>
      </c>
      <c r="O1" s="227" t="s">
        <v>58</v>
      </c>
      <c r="P1" s="227" t="s">
        <v>97</v>
      </c>
      <c r="Q1" s="228" t="s">
        <v>98</v>
      </c>
      <c r="R1" s="227" t="s">
        <v>114</v>
      </c>
      <c r="S1" s="227" t="s">
        <v>99</v>
      </c>
      <c r="T1" s="227" t="s">
        <v>100</v>
      </c>
      <c r="U1" s="227" t="s">
        <v>101</v>
      </c>
      <c r="V1" s="227" t="s">
        <v>102</v>
      </c>
      <c r="W1" s="227" t="s">
        <v>103</v>
      </c>
      <c r="X1" s="227" t="s">
        <v>115</v>
      </c>
      <c r="Y1" s="227" t="s">
        <v>104</v>
      </c>
      <c r="Z1" s="227" t="s">
        <v>105</v>
      </c>
      <c r="AA1" s="227" t="s">
        <v>106</v>
      </c>
      <c r="AB1" s="227" t="s">
        <v>107</v>
      </c>
      <c r="AC1" s="227" t="s">
        <v>118</v>
      </c>
      <c r="AD1" s="227" t="s">
        <v>120</v>
      </c>
      <c r="AE1" s="227" t="s">
        <v>121</v>
      </c>
      <c r="AF1" s="227" t="s">
        <v>122</v>
      </c>
      <c r="AG1" s="227" t="s">
        <v>123</v>
      </c>
      <c r="AH1" s="227" t="s">
        <v>133</v>
      </c>
      <c r="AI1" s="227" t="s">
        <v>124</v>
      </c>
      <c r="AJ1" s="227" t="s">
        <v>125</v>
      </c>
      <c r="AK1" s="227" t="s">
        <v>134</v>
      </c>
      <c r="AL1" s="227" t="s">
        <v>126</v>
      </c>
      <c r="AM1" s="227" t="s">
        <v>127</v>
      </c>
      <c r="AN1" s="227" t="s">
        <v>128</v>
      </c>
      <c r="AO1" s="228" t="s">
        <v>129</v>
      </c>
      <c r="AP1" s="227" t="s">
        <v>130</v>
      </c>
      <c r="AQ1" s="227" t="s">
        <v>131</v>
      </c>
      <c r="AR1" s="227" t="s">
        <v>135</v>
      </c>
      <c r="AS1" s="227" t="s">
        <v>48</v>
      </c>
      <c r="AT1" s="227" t="s">
        <v>132</v>
      </c>
      <c r="AU1" s="227" t="str">
        <f>Ввод!A28</f>
        <v>Жилая площадь, кв. м.</v>
      </c>
      <c r="AV1" s="227" t="str">
        <f>Ввод!A29</f>
        <v>Планировка соответствие</v>
      </c>
      <c r="AW1" s="227" t="str">
        <f>Ввод!A30</f>
        <v>Наличие подземных этажей, парковки</v>
      </c>
      <c r="AX1" s="227" t="str">
        <f>Ввод!A31</f>
        <v>Материал стен дома</v>
      </c>
      <c r="AY1" s="227" t="str">
        <f>Ввод!A32</f>
        <v>Вид (характеристика) перекрытий дома</v>
      </c>
      <c r="AZ1" s="227" t="str">
        <f>Ввод!A33</f>
        <v>Необходимость ремонтных работ в квартире с обоснованием</v>
      </c>
      <c r="BA1" s="227" t="str">
        <f>Ввод!A34</f>
        <v>Выводы об отсутствии/наличиии существенных дефектов здания</v>
      </c>
      <c r="BB1" s="227" t="str">
        <f>Ввод!A35</f>
        <v>Выводы о целесообразности проведения капитального ремонта</v>
      </c>
      <c r="BC1" s="227" t="str">
        <f>Ввод!A36</f>
        <v>Состояние подъезда</v>
      </c>
      <c r="BD1" s="227" t="str">
        <f>Ввод!A37</f>
        <v>Состояние внешнего вида фасада дома</v>
      </c>
      <c r="BE1" s="227" t="str">
        <f>Ввод!A38</f>
        <v>Физический износ дома %</v>
      </c>
      <c r="BF1" s="227" t="str">
        <f>Ввод!A39</f>
        <v>Благоустройство двора</v>
      </c>
      <c r="BG1" s="227" t="str">
        <f>Ввод!A40</f>
        <v>Объекты снижающие/повышающие привлекательность района и двора</v>
      </c>
      <c r="BH1" s="227" t="str">
        <f>Ввод!A41</f>
        <v>Вид из окна</v>
      </c>
      <c r="BI1" s="227" t="str">
        <f>Ввод!A42</f>
        <v>Наличие и количество балконов/лоджий</v>
      </c>
      <c r="BJ1" s="227" t="str">
        <f>Ввод!A43</f>
        <v>Остекление балконов/лоджий</v>
      </c>
      <c r="BK1" s="227" t="str">
        <f>Ввод!A44</f>
        <v>Этажность дома</v>
      </c>
      <c r="BL1" s="227" t="str">
        <f>Ввод!A45</f>
        <v>Этаж расположения квартиры</v>
      </c>
      <c r="BM1" s="227" t="str">
        <f>AU1</f>
        <v>Жилая площадь, кв. м.</v>
      </c>
      <c r="BN1" s="227" t="s">
        <v>155</v>
      </c>
      <c r="BO1" s="227" t="s">
        <v>166</v>
      </c>
      <c r="BP1" s="227" t="s">
        <v>165</v>
      </c>
      <c r="BQ1" s="227" t="s">
        <v>167</v>
      </c>
      <c r="BR1" s="227" t="s">
        <v>168</v>
      </c>
      <c r="BS1" s="227" t="s">
        <v>160</v>
      </c>
      <c r="BT1" s="227" t="s">
        <v>161</v>
      </c>
      <c r="BU1" s="227" t="s">
        <v>162</v>
      </c>
      <c r="BV1" s="227" t="str">
        <f>Ввод!A46</f>
        <v>Собственник объекта оценки</v>
      </c>
      <c r="BW1" s="227" t="s">
        <v>176</v>
      </c>
      <c r="BX1" s="227" t="s">
        <v>177</v>
      </c>
      <c r="BY1" s="227" t="s">
        <v>178</v>
      </c>
      <c r="BZ1" s="227" t="s">
        <v>179</v>
      </c>
      <c r="CA1" s="227" t="s">
        <v>180</v>
      </c>
      <c r="CB1" s="227" t="s">
        <v>181</v>
      </c>
      <c r="CC1" s="227" t="s">
        <v>182</v>
      </c>
      <c r="CD1" s="227" t="s">
        <v>183</v>
      </c>
      <c r="CE1" s="227" t="s">
        <v>184</v>
      </c>
      <c r="CF1" s="227" t="s">
        <v>185</v>
      </c>
      <c r="CG1" s="227" t="s">
        <v>210</v>
      </c>
      <c r="CH1" s="227" t="s">
        <v>207</v>
      </c>
      <c r="CI1" s="227" t="s">
        <v>208</v>
      </c>
      <c r="CJ1" s="227" t="s">
        <v>213</v>
      </c>
      <c r="CK1" s="227" t="s">
        <v>211</v>
      </c>
      <c r="CL1" s="227" t="s">
        <v>212</v>
      </c>
      <c r="CM1" s="227" t="s">
        <v>214</v>
      </c>
      <c r="CN1" s="227" t="s">
        <v>215</v>
      </c>
      <c r="CO1" s="227" t="s">
        <v>217</v>
      </c>
      <c r="CP1" s="227" t="s">
        <v>221</v>
      </c>
      <c r="CQ1" s="227" t="s">
        <v>238</v>
      </c>
      <c r="CR1" s="227" t="s">
        <v>239</v>
      </c>
      <c r="CS1" s="227" t="s">
        <v>240</v>
      </c>
      <c r="CT1" s="227"/>
      <c r="CU1" s="227" t="s">
        <v>426</v>
      </c>
      <c r="CV1" s="227" t="s">
        <v>427</v>
      </c>
      <c r="CW1" s="227" t="s">
        <v>428</v>
      </c>
      <c r="CX1" s="227" t="s">
        <v>429</v>
      </c>
      <c r="CY1" s="227" t="s">
        <v>430</v>
      </c>
      <c r="CZ1" s="227" t="s">
        <v>431</v>
      </c>
      <c r="DA1" s="227"/>
      <c r="DB1" s="227"/>
      <c r="DC1" s="227"/>
      <c r="DD1" s="227"/>
      <c r="DE1" s="227"/>
      <c r="DF1" s="227"/>
      <c r="DG1" s="227"/>
      <c r="DH1" s="227"/>
      <c r="DI1" s="227"/>
      <c r="DJ1" s="227"/>
      <c r="DK1" s="227"/>
      <c r="DL1" s="227"/>
      <c r="DM1" s="227"/>
      <c r="DN1" s="227"/>
      <c r="DO1" s="227"/>
      <c r="DP1" s="227"/>
      <c r="DQ1" s="227"/>
      <c r="DR1" s="227"/>
      <c r="DS1" s="227"/>
      <c r="DT1" s="227"/>
      <c r="DU1" s="227"/>
      <c r="DV1" s="227"/>
      <c r="DW1" s="227"/>
      <c r="DX1" s="227"/>
    </row>
    <row r="2" spans="2:128" s="223" customFormat="1" ht="193.5" customHeight="1" x14ac:dyDescent="0.2">
      <c r="B2" s="224" t="str">
        <f>Ввод!B3</f>
        <v>3/29/09/17</v>
      </c>
      <c r="C2" s="245">
        <f>Ввод!B4</f>
        <v>43007</v>
      </c>
      <c r="D2" s="245">
        <f>Ввод!B5</f>
        <v>43007</v>
      </c>
      <c r="E2" s="225">
        <f>Ввод!B6</f>
        <v>43008</v>
      </c>
      <c r="F2" s="225">
        <f>Ввод!B7</f>
        <v>43189</v>
      </c>
      <c r="G2" s="226" t="str">
        <f>Ввод!B8</f>
        <v>г. Санкт-Петербург, Ланское шоссе, дом 12, корпус 2, кв. 18</v>
      </c>
      <c r="H2" s="226" t="str">
        <f>Ввод!B9</f>
        <v xml:space="preserve">Шичкина Ю.А. </v>
      </c>
      <c r="I2" s="226" t="str">
        <f>Ввод!B10</f>
        <v>Юлия Александровна</v>
      </c>
      <c r="J2" s="226" t="str">
        <f>Ввод!B11</f>
        <v>паспорт 25 03 №184488, выдан отделом милиции №3 УВД гор. Братска Иркутской области 02.07.2002 г., регистрация Иркутская область, гор. Братск, Приморская ул., д. 43, кв. 92</v>
      </c>
      <c r="K2" s="226" t="str">
        <f>Ввод!B12</f>
        <v>определение рыночной  и ликвидационной стоимости</v>
      </c>
      <c r="L2" s="226" t="str">
        <f>Ввод!B13</f>
        <v>для предоставления отчета в банк с целью принятия управленческого решения.</v>
      </c>
      <c r="M2" s="242">
        <f>'Регресс. анализ'!M9</f>
        <v>4480000</v>
      </c>
      <c r="N2" s="246" t="str">
        <f>SUBSTITUTE(PROPER(INDEX(n_4,MID(TEXT(M2,n0),1,1)+1)&amp;INDEX(n0x,MID(TEXT(M2,n0),2,1)+1,MID(TEXT(M2,n0),3,1)+1)&amp;IF(-MID(TEXT(M2,n0),1,3),"миллиард"&amp;VLOOKUP(MID(TEXT(M2,n0),3,1)*AND(MID(TEXT(M2,n0),2,1)-1),мил,2),"")&amp;INDEX(n_4,MID(TEXT(M2,n0),4,1)+1)&amp;INDEX(n0x,MID(TEXT(M2,n0),5,1)+1,MID(TEXT(M2,n0),6,1)+1)&amp;IF(-MID(TEXT(M2,n0),4,3),"миллион"&amp;VLOOKUP(MID(TEXT(M2,n0),6,1)*AND(MID(TEXT(M2,n0),5,1)-1),мил,2),"")&amp;INDEX(n_4,MID(TEXT(M2,n0),7,1)+1)&amp;INDEX(n1x,MID(TEXT(M2,n0),8,1)+1,MID(TEXT(M2,n0),9,1)+1)&amp;IF(-MID(TEXT(M2,n0),7,3),VLOOKUP(MID(TEXT(M2,n0),9,1)*AND(MID(TEXT(M2,n0),8,1)-1),тыс,2),"")&amp;INDEX(n_4,MID(TEXT(M2,n0),10,1)+1)&amp;INDEX(n0x,MID(TEXT(M2,n0),11,1)+1,MID(TEXT(M2,n0),12,1)+1)),"z"," ")&amp;IF(TRUNC(TEXT(M2,n0)),"","Ноль ")&amp;"рубл"&amp;VLOOKUP(MOD(MAX(MOD(MID(TEXT(M2,n0),11,2)-11,100),9),10),{0,"ь ";1,"я ";4,"ей "},2)&amp;RIGHT(TEXT(M2,n0),2)&amp;" копе"&amp;VLOOKUP(MOD(MAX(MOD(RIGHT(TEXT(M2,n0),2)-11,100),9),10),{0,"йка";1,"йки";4,"ек"},2)</f>
        <v>Четыре миллиона четыреста восемьдесят тысяч рублей 00 копеек</v>
      </c>
      <c r="O2" s="242">
        <f>'Регресс. анализ'!M13</f>
        <v>4032000</v>
      </c>
      <c r="P2" s="246" t="str">
        <f>SUBSTITUTE(PROPER(INDEX(n_4,MID(TEXT(O2,n0),1,1)+1)&amp;INDEX(n0x,MID(TEXT(O2,n0),2,1)+1,MID(TEXT(O2,n0),3,1)+1)&amp;IF(-MID(TEXT(O2,n0),1,3),"миллиард"&amp;VLOOKUP(MID(TEXT(O2,n0),3,1)*AND(MID(TEXT(O2,n0),2,1)-1),мил,2),"")&amp;INDEX(n_4,MID(TEXT(O2,n0),4,1)+1)&amp;INDEX(n0x,MID(TEXT(O2,n0),5,1)+1,MID(TEXT(O2,n0),6,1)+1)&amp;IF(-MID(TEXT(O2,n0),4,3),"миллион"&amp;VLOOKUP(MID(TEXT(O2,n0),6,1)*AND(MID(TEXT(O2,n0),5,1)-1),мил,2),"")&amp;INDEX(n_4,MID(TEXT(O2,n0),7,1)+1)&amp;INDEX(n1x,MID(TEXT(O2,n0),8,1)+1,MID(TEXT(O2,n0),9,1)+1)&amp;IF(-MID(TEXT(O2,n0),7,3),VLOOKUP(MID(TEXT(O2,n0),9,1)*AND(MID(TEXT(O2,n0),8,1)-1),тыс,2),"")&amp;INDEX(n_4,MID(TEXT(O2,n0),10,1)+1)&amp;INDEX(n0x,MID(TEXT(O2,n0),11,1)+1,MID(TEXT(O2,n0),12,1)+1)),"z"," ")&amp;IF(TRUNC(TEXT(O2,n0)),"","Ноль ")&amp;"рубл"&amp;VLOOKUP(MOD(MAX(MOD(MID(TEXT(O2,n0),11,2)-11,100),9),10),{0,"ь ";1,"я ";4,"ей "},2)&amp;RIGHT(TEXT(O2,n0),2)&amp;" копе"&amp;VLOOKUP(MOD(MAX(MOD(RIGHT(TEXT(O2,n0),2)-11,100),9),10),{0,"йка";1,"йки";4,"ек"},2)</f>
        <v>Четыре миллиона тридцать две тысячи рублей 00 копеек</v>
      </c>
      <c r="Q2" s="224">
        <f>'Таблицы расч'!B4</f>
        <v>57.4</v>
      </c>
      <c r="R2" s="246" t="str">
        <f>'числа в пропись'!$C$58</f>
        <v>Пятьдесят семь целых четыре десятых</v>
      </c>
      <c r="S2" s="226" t="str">
        <f>'Таблицы расч'!B14</f>
        <v>удовлетворительное</v>
      </c>
      <c r="T2" s="226" t="str">
        <f>'Таблицы расч'!B17</f>
        <v>нормальное</v>
      </c>
      <c r="U2" s="226" t="str">
        <f>'Таблицы расч'!B21</f>
        <v>раздельный</v>
      </c>
      <c r="V2" s="226">
        <f>'Таблицы расч'!B22</f>
        <v>3</v>
      </c>
      <c r="W2" s="226">
        <f>'Таблицы расч'!B25</f>
        <v>6.2</v>
      </c>
      <c r="X2" s="285" t="str">
        <f>'числа в пропись'!$C$57</f>
        <v>Шесть целых две десятых</v>
      </c>
      <c r="Y2" s="226" t="str">
        <f>'Таблицы расч'!B15</f>
        <v>2/9</v>
      </c>
      <c r="Z2" s="247" t="str">
        <f>'Таблицы расч'!B24</f>
        <v>2 лоджии</v>
      </c>
      <c r="AA2" s="223" t="str">
        <f>'Таблицы расч'!B16</f>
        <v>панельный многоэтажный</v>
      </c>
      <c r="AB2" s="283">
        <f>'Таблицы расч'!C38*100</f>
        <v>-3</v>
      </c>
      <c r="AC2" s="226" t="str">
        <f>Ввод!B14</f>
        <v>технический паспорт на квартиру № 3115/14 от 15.09.2014г., форма 7 от 26.09.2014г., свидетельство о государственной регистрации права серия 78-ВЛ № 714926 от 24.04.2003г., серия 78-АА № 494205 от 27.10.2005г., кадастровый паспорт № 78/201/14-242804 от 16.09.2014г.</v>
      </c>
      <c r="AD2" s="226">
        <f>'Регресс. анализ'!M11</f>
        <v>78049</v>
      </c>
      <c r="AE2" s="226" t="str">
        <f>SUBSTITUTE(PROPER(INDEX(n_4,MID(TEXT(AD2,n0),1,1)+1)&amp;INDEX(n0x,MID(TEXT(AD2,n0),2,1)+1,MID(TEXT(AD2,n0),3,1)+1)&amp;IF(-MID(TEXT(AD2,n0),1,3),"миллиард"&amp;VLOOKUP(MID(TEXT(AD2,n0),3,1)*AND(MID(TEXT(AD2,n0),2,1)-1),мил,2),"")&amp;INDEX(n_4,MID(TEXT(AD2,n0),4,1)+1)&amp;INDEX(n0x,MID(TEXT(AD2,n0),5,1)+1,MID(TEXT(AD2,n0),6,1)+1)&amp;IF(-MID(TEXT(AD2,n0),4,3),"миллион"&amp;VLOOKUP(MID(TEXT(AD2,n0),6,1)*AND(MID(TEXT(AD2,n0),5,1)-1),мил,2),"")&amp;INDEX(n_4,MID(TEXT(AD2,n0),7,1)+1)&amp;INDEX(n1x,MID(TEXT(AD2,n0),8,1)+1,MID(TEXT(AD2,n0),9,1)+1)&amp;IF(-MID(TEXT(AD2,n0),7,3),VLOOKUP(MID(TEXT(AD2,n0),9,1)*AND(MID(TEXT(AD2,n0),8,1)-1),тыс,2),"")&amp;INDEX(n_4,MID(TEXT(AD2,n0),10,1)+1)&amp;INDEX(n0x,MID(TEXT(AD2,n0),11,1)+1,MID(TEXT(AD2,n0),12,1)+1)),"z"," ")&amp;IF(TRUNC(TEXT(AD2,n0)),"","Ноль ")&amp;"рубл"&amp;VLOOKUP(MOD(MAX(MOD(MID(TEXT(AD2,n0),11,2)-11,100),9),10),{0,"ь ";1,"я ";4,"ей "},2)&amp;RIGHT(TEXT(AD2,n0),2)&amp;" копе"&amp;VLOOKUP(MOD(MAX(MOD(RIGHT(TEXT(AD2,n0),2)-11,100),9),10),{0,"йка";1,"йки";4,"ек"},2)</f>
        <v>Семьдесят восемь тысяч сорок девять рублей 00 копеек</v>
      </c>
      <c r="AF2" s="226" t="str">
        <f>Ввод!B16</f>
        <v>Черная речка</v>
      </c>
      <c r="AG2" s="226" t="str">
        <f>Ввод!B17</f>
        <v>900</v>
      </c>
      <c r="AH2" s="246" t="str">
        <f>SUBSTITUTE(PROPER(INDEX(n_4,MID(TEXT(AG2,n0),1,1)+1)&amp;INDEX(n0x,MID(TEXT(AG2,n0),2,1)+1,MID(TEXT(AG2,n0),3,1)+1)&amp;IF(-MID(TEXT(AG2,n0),1,3),"миллиард"&amp;VLOOKUP(MID(TEXT(AG2,n0),3,1)*AND(MID(TEXT(AG2,n0),2,1)-1),мил,2),"")&amp;INDEX(n_4,MID(TEXT(AG2,n0),4,1)+1)&amp;INDEX(n0x,MID(TEXT(AG2,n0),5,1)+1,MID(TEXT(AG2,n0),6,1)+1)&amp;IF(-MID(TEXT(AG2,n0),4,3),"миллион"&amp;VLOOKUP(MID(TEXT(AG2,n0),6,1)*AND(MID(TEXT(AG2,n0),5,1)-1),мил,2),"")&amp;INDEX(n_4,MID(TEXT(AG2,n0),7,1)+1)&amp;INDEX(n1x,MID(TEXT(AG2,n0),8,1)+1,MID(TEXT(AG2,n0),9,1)+1)&amp;IF(-MID(TEXT(AG2,n0),7,3),VLOOKUP(MID(TEXT(AG2,n0),9,1)*AND(MID(TEXT(AG2,n0),8,1)-1),тыс,2),"")&amp;INDEX(n_4,MID(TEXT(AG2,n0),10,1)+1)&amp;INDEX(IF(-MID(TEXT(AG2,n0),14,6),n1x,n0x),MID(TEXT(AG2,n0),11,1)+1,MID(TEXT(AG2,n0),12,1)+1)),"z"," ")&amp;IF(TRUNC(TEXT(AG2,n0)),,"Ноль ")&amp;IF(-MID(TEXT(AG2,n0),14,6),IF(MOD(MAX(MOD(MID(TEXT(AG2,n0),11,2)-11,100),9),10),"целых ","целая ")&amp;SUBSTITUTE(INDEX(n_4,MID(TEXT(AG2,n0),14,6)/10^5+1)&amp;INDEX(n1x,MOD(MID(TEXT(AG2,n0),14,6)/10^4,10)+1,MOD(MID(TEXT(AG2,n0),14,6)/1000,10)+1)&amp;IF(INT(MID(TEXT(AG2,n0),14,6)/1000),VLOOKUP(MOD(MID(TEXT(AG2,n0),14,6)/1000,10)*(MOD(INT(MID(TEXT(AG2,n0),14,6)/10^4),10)&lt;&gt;1),тыс,2),"")&amp;INDEX(n_4,MOD(MID(TEXT(AG2,n0),14,6)/100,10)+1)&amp;INDEX(n1x,MOD(MID(TEXT(AG2,n0),14,6)/10,10)+1,MOD(MID(TEXT(AG2,n0),14,6),10)+1),"z"," ")&amp;INDEX(доля,LEN(MID(TEXT(AG2,n0),14,6)),(MOD(MAX(MOD(MID(TEXT(AG2,n0),14,6)-11,100),9),10)&gt;0)+1),)</f>
        <v xml:space="preserve">Девятьсот </v>
      </c>
      <c r="AI2" s="226" t="str">
        <f>Ввод!B18</f>
        <v>Новая деревня</v>
      </c>
      <c r="AJ2" s="226" t="str">
        <f>Ввод!B19</f>
        <v>700</v>
      </c>
      <c r="AK2" s="246" t="str">
        <f>SUBSTITUTE(PROPER(INDEX(n_4,MID(TEXT(AJ2,n0),1,1)+1)&amp;INDEX(n0x,MID(TEXT(AJ2,n0),2,1)+1,MID(TEXT(AJ2,n0),3,1)+1)&amp;IF(-MID(TEXT(AJ2,n0),1,3),"миллиард"&amp;VLOOKUP(MID(TEXT(AJ2,n0),3,1)*AND(MID(TEXT(AJ2,n0),2,1)-1),мил,2),"")&amp;INDEX(n_4,MID(TEXT(AJ2,n0),4,1)+1)&amp;INDEX(n0x,MID(TEXT(AJ2,n0),5,1)+1,MID(TEXT(AJ2,n0),6,1)+1)&amp;IF(-MID(TEXT(AJ2,n0),4,3),"миллион"&amp;VLOOKUP(MID(TEXT(AJ2,n0),6,1)*AND(MID(TEXT(AJ2,n0),5,1)-1),мил,2),"")&amp;INDEX(n_4,MID(TEXT(AJ2,n0),7,1)+1)&amp;INDEX(n1x,MID(TEXT(AJ2,n0),8,1)+1,MID(TEXT(AJ2,n0),9,1)+1)&amp;IF(-MID(TEXT(AJ2,n0),7,3),VLOOKUP(MID(TEXT(AJ2,n0),9,1)*AND(MID(TEXT(AJ2,n0),8,1)-1),тыс,2),"")&amp;INDEX(n_4,MID(TEXT(AJ2,n0),10,1)+1)&amp;INDEX(IF(-MID(TEXT(AJ2,n0),14,6),n1x,n0x),MID(TEXT(AJ2,n0),11,1)+1,MID(TEXT(AJ2,n0),12,1)+1)),"z"," ")&amp;IF(TRUNC(TEXT(AJ2,n0)),,"Ноль ")&amp;IF(-MID(TEXT(AJ2,n0),14,6),IF(MOD(MAX(MOD(MID(TEXT(AJ2,n0),11,2)-11,100),9),10),"целых ","целая ")&amp;SUBSTITUTE(INDEX(n_4,MID(TEXT(AJ2,n0),14,6)/10^5+1)&amp;INDEX(n1x,MOD(MID(TEXT(AJ2,n0),14,6)/10^4,10)+1,MOD(MID(TEXT(AJ2,n0),14,6)/1000,10)+1)&amp;IF(INT(MID(TEXT(AJ2,n0),14,6)/1000),VLOOKUP(MOD(MID(TEXT(AJ2,n0),14,6)/1000,10)*(MOD(INT(MID(TEXT(AJ2,n0),14,6)/10^4),10)&lt;&gt;1),тыс,2),"")&amp;INDEX(n_4,MOD(MID(TEXT(AJ2,n0),14,6)/100,10)+1)&amp;INDEX(n1x,MOD(MID(TEXT(AJ2,n0),14,6)/10,10)+1,MOD(MID(TEXT(AJ2,n0),14,6),10)+1),"z"," ")&amp;INDEX(доля,LEN(MID(TEXT(AJ2,n0),14,6)),(MOD(MAX(MOD(MID(TEXT(AJ2,n0),14,6)-11,100),9),10)&gt;0)+1),)</f>
        <v xml:space="preserve">Семьсот </v>
      </c>
      <c r="AL2" s="226" t="str">
        <f>Ввод!B20</f>
        <v>нормальная</v>
      </c>
      <c r="AM2" s="226" t="str">
        <f>Ввод!B21</f>
        <v>на улицу</v>
      </c>
      <c r="AN2" s="226" t="str">
        <f>Ввод!B22</f>
        <v>Приморский</v>
      </c>
      <c r="AO2" s="226" t="str">
        <f>Ввод!B23</f>
        <v>во дворе</v>
      </c>
      <c r="AP2" s="226" t="str">
        <f>Ввод!B24</f>
        <v>1962</v>
      </c>
      <c r="AQ2" s="226" t="str">
        <f>Ввод!B25</f>
        <v>2,51</v>
      </c>
      <c r="AR2" s="246" t="str">
        <f>'числа в пропись'!$C$59</f>
        <v>Две целых пятьдесят одна сотая</v>
      </c>
      <c r="AS2" s="226" t="str">
        <f>Ввод!B26</f>
        <v>двухсторонняя</v>
      </c>
      <c r="AT2" s="226" t="str">
        <f>Ввод!B27</f>
        <v>водопровод, канализация, электричество, центральное отопление, центральное горячее водоснабжение, газоснабжение</v>
      </c>
      <c r="AU2" s="226" t="str">
        <f>Ввод!B28</f>
        <v>26,9</v>
      </c>
      <c r="AV2" s="226" t="str">
        <f>Ввод!B29</f>
        <v>соответствует. Изменения согласно представленной документации не выявлены.</v>
      </c>
      <c r="AW2" s="226" t="str">
        <f>Ввод!B30</f>
        <v>нет</v>
      </c>
      <c r="AX2" s="224" t="str">
        <f>Ввод!B31</f>
        <v>шлакобетонные, монолитные железобетонные</v>
      </c>
      <c r="AY2" s="226" t="str">
        <f>Ввод!B32</f>
        <v>железобетон</v>
      </c>
      <c r="AZ2" s="226" t="str">
        <f>Ввод!B33</f>
        <v>отсутствует необходимость проведения  ремонтных работ в квартире</v>
      </c>
      <c r="BA2" s="226" t="str">
        <f>Ввод!B34</f>
        <v>в ходе осмотра выявлены несущественные дефекты конструктивных элементов и инженерного оборудования. Здание пригодно к эксплуатации.</v>
      </c>
      <c r="BB2" s="226" t="str">
        <f>Ввод!B35</f>
        <v>в настоящее время и в будущем капитальный ремонт здания с отселением жильцов не требуется, его проведение не является целесообразным.</v>
      </c>
      <c r="BC2" s="226" t="str">
        <f>Ввод!B36</f>
        <v>нормальное</v>
      </c>
      <c r="BD2" s="226" t="str">
        <f>Ввод!B37</f>
        <v>нормальное</v>
      </c>
      <c r="BE2" s="226" t="str">
        <f>Ввод!B38</f>
        <v>15</v>
      </c>
      <c r="BF2" s="226" t="str">
        <f>Ввод!B39</f>
        <v xml:space="preserve">благоустроенный двор. </v>
      </c>
      <c r="BG2" s="226" t="str">
        <f>Ввод!B40</f>
        <v>объекты влияющие на привлекательность двора расположения здания и самого здания не выявлено</v>
      </c>
      <c r="BH2" s="226" t="str">
        <f>Ввод!B41</f>
        <v>на улицу</v>
      </c>
      <c r="BI2" s="226" t="str">
        <f>Ввод!B42</f>
        <v>нет</v>
      </c>
      <c r="BJ2" s="226" t="str">
        <f>Ввод!B43</f>
        <v>нет</v>
      </c>
      <c r="BK2" s="226" t="str">
        <f>Ввод!B44</f>
        <v>5</v>
      </c>
      <c r="BL2" s="226" t="str">
        <f>Ввод!B45</f>
        <v>5</v>
      </c>
      <c r="BM2" s="226" t="str">
        <f>AU2</f>
        <v>26,9</v>
      </c>
      <c r="BN2" s="247" t="str">
        <f>'числа в пропись'!$C$56</f>
        <v>Двадцать шесть целых девять десятых</v>
      </c>
      <c r="BO2" s="305">
        <f>'Регресс. анализ'!M15</f>
        <v>4280000</v>
      </c>
      <c r="BP2" s="247" t="str">
        <f>SUBSTITUTE(PROPER(INDEX(n_4,MID(TEXT(BO2,n0),1,1)+1)&amp;INDEX(n0x,MID(TEXT(BO2,n0),2,1)+1,MID(TEXT(BO2,n0),3,1)+1)&amp;IF(-MID(TEXT(BO2,n0),1,3),"миллиард"&amp;VLOOKUP(MID(TEXT(BO2,n0),3,1)*AND(MID(TEXT(BO2,n0),2,1)-1),мил,2),"")&amp;INDEX(n_4,MID(TEXT(BO2,n0),4,1)+1)&amp;INDEX(n0x,MID(TEXT(BO2,n0),5,1)+1,MID(TEXT(BO2,n0),6,1)+1)&amp;IF(-MID(TEXT(BO2,n0),4,3),"миллион"&amp;VLOOKUP(MID(TEXT(BO2,n0),6,1)*AND(MID(TEXT(BO2,n0),5,1)-1),мил,2),"")&amp;INDEX(n_4,MID(TEXT(BO2,n0),7,1)+1)&amp;INDEX(n1x,MID(TEXT(BO2,n0),8,1)+1,MID(TEXT(BO2,n0),9,1)+1)&amp;IF(-MID(TEXT(BO2,n0),7,3),VLOOKUP(MID(TEXT(BO2,n0),9,1)*AND(MID(TEXT(BO2,n0),8,1)-1),тыс,2),"")&amp;INDEX(n_4,MID(TEXT(BO2,n0),10,1)+1)&amp;INDEX(n0x,MID(TEXT(BO2,n0),11,1)+1,MID(TEXT(BO2,n0),12,1)+1)),"z"," ")&amp;IF(TRUNC(TEXT(BO2,n0)),"","Ноль ")&amp;"рубл"&amp;VLOOKUP(MOD(MAX(MOD(MID(TEXT(BO2,n0),11,2)-11,100),9),10),{0,"ь ";1,"я ";4,"ей "},2)&amp;RIGHT(TEXT(BO2,n0),2)&amp;" копе"&amp;VLOOKUP(MOD(MAX(MOD(RIGHT(TEXT(BO2,n0),2)-11,100),9),10),{0,"йка";1,"йки";4,"ек"},2)</f>
        <v>Четыре миллиона двести восемьдесят тысяч рублей 00 копеек</v>
      </c>
      <c r="BQ2" s="304">
        <f>'Регресс. анализ'!N16</f>
        <v>200000</v>
      </c>
      <c r="BR2" s="247" t="str">
        <f>SUBSTITUTE(PROPER(INDEX(n_4,MID(TEXT(BQ2,n0),1,1)+1)&amp;INDEX(n0x,MID(TEXT(BQ2,n0),2,1)+1,MID(TEXT(BQ2,n0),3,1)+1)&amp;IF(-MID(TEXT(BQ2,n0),1,3),"миллиард"&amp;VLOOKUP(MID(TEXT(BQ2,n0),3,1)*AND(MID(TEXT(BQ2,n0),2,1)-1),мил,2),"")&amp;INDEX(n_4,MID(TEXT(BQ2,n0),4,1)+1)&amp;INDEX(n0x,MID(TEXT(BQ2,n0),5,1)+1,MID(TEXT(BQ2,n0),6,1)+1)&amp;IF(-MID(TEXT(BQ2,n0),4,3),"миллион"&amp;VLOOKUP(MID(TEXT(BQ2,n0),6,1)*AND(MID(TEXT(BQ2,n0),5,1)-1),мил,2),"")&amp;INDEX(n_4,MID(TEXT(BQ2,n0),7,1)+1)&amp;INDEX(n1x,MID(TEXT(BQ2,n0),8,1)+1,MID(TEXT(BQ2,n0),9,1)+1)&amp;IF(-MID(TEXT(BQ2,n0),7,3),VLOOKUP(MID(TEXT(BQ2,n0),9,1)*AND(MID(TEXT(BQ2,n0),8,1)-1),тыс,2),"")&amp;INDEX(n_4,MID(TEXT(BQ2,n0),10,1)+1)&amp;INDEX(n0x,MID(TEXT(BQ2,n0),11,1)+1,MID(TEXT(BQ2,n0),12,1)+1)),"z"," ")&amp;IF(TRUNC(TEXT(BQ2,n0)),"","Ноль ")&amp;"рубл"&amp;VLOOKUP(MOD(MAX(MOD(MID(TEXT(BQ2,n0),11,2)-11,100),9),10),{0,"ь ";1,"я ";4,"ей "},2)&amp;RIGHT(TEXT(BQ2,n0),2)&amp;" копе"&amp;VLOOKUP(MOD(MAX(MOD(RIGHT(TEXT(BQ2,n0),2)-11,100),9),10),{0,"йка";1,"йки";4,"ек"},2)</f>
        <v>Двести тысяч рублей 00 копеек</v>
      </c>
      <c r="BS2" s="304">
        <f>'Регресс. анализ'!N23</f>
        <v>186000</v>
      </c>
      <c r="BT2" s="304">
        <f>'Регресс. анализ'!N24</f>
        <v>206000</v>
      </c>
      <c r="BU2" s="304">
        <f>'Регресс. анализ'!N25</f>
        <v>208000</v>
      </c>
      <c r="BV2" s="247" t="str">
        <f>Ввод!$B$46</f>
        <v>Агрест Анна Иосифовна доля в праве 1/2, Сожин Марк Григорьевич доля в праве 1/2</v>
      </c>
      <c r="BW2" s="304" t="str">
        <f>'Регресс. анализ'!D3</f>
        <v>0,63</v>
      </c>
      <c r="BX2" s="304" t="str">
        <f>'Регресс. анализ'!D4</f>
        <v>0,83</v>
      </c>
      <c r="BY2" s="304" t="str">
        <f>'Регресс. анализ'!D5</f>
        <v>0,83</v>
      </c>
      <c r="BZ2" s="304" t="str">
        <f>'Регресс. анализ'!D6</f>
        <v>0,74</v>
      </c>
      <c r="CA2" s="304" t="str">
        <f>'Регресс. анализ'!D7</f>
        <v>0,85</v>
      </c>
      <c r="CB2" s="304" t="str">
        <f>'Регресс. анализ'!E3</f>
        <v>67436,80</v>
      </c>
      <c r="CC2" s="304" t="str">
        <f>'Регресс. анализ'!E4</f>
        <v>79812,28</v>
      </c>
      <c r="CD2" s="304" t="str">
        <f>'Регресс. анализ'!E5</f>
        <v>79701,67</v>
      </c>
      <c r="CE2" s="304" t="str">
        <f>'Регресс. анализ'!E6</f>
        <v>75258,62</v>
      </c>
      <c r="CF2" s="304" t="str">
        <f>'Регресс. анализ'!E7</f>
        <v>75654,6</v>
      </c>
      <c r="CG2" s="304" t="str">
        <f>СТАТИСТ!G4</f>
        <v>0,88</v>
      </c>
      <c r="CH2" s="304" t="str">
        <f>СТАТИСТ!G5</f>
        <v>0,78</v>
      </c>
      <c r="CI2" s="304" t="str">
        <f>СТАТИСТ!G6</f>
        <v>5</v>
      </c>
      <c r="CJ2" s="304" t="str">
        <f>СТАТИСТ!G8</f>
        <v>10,77</v>
      </c>
      <c r="CK2" s="304" t="str">
        <f>СТАТИСТ!G9</f>
        <v>5,54</v>
      </c>
      <c r="CL2" s="304" t="str">
        <f>СТАТИСТ!G10</f>
        <v>0,10</v>
      </c>
      <c r="CM2" s="304" t="str">
        <f>СТАТИСТ!G11</f>
        <v>3,28</v>
      </c>
      <c r="CN2" s="304" t="str">
        <f>СТАТИСТ!G12</f>
        <v>2,35</v>
      </c>
      <c r="CO2" s="304" t="str">
        <f>СТАТИСТ!G13</f>
        <v>7</v>
      </c>
      <c r="CP2" s="304" t="str">
        <f>СТАТИСТ!G14</f>
        <v>2,5</v>
      </c>
      <c r="CQ2" s="304" t="str">
        <f>СТАТИСТ!G15</f>
        <v>49917</v>
      </c>
      <c r="CR2" s="304" t="str">
        <f>СТАТИСТ!G16</f>
        <v>+36 887</v>
      </c>
      <c r="CS2" s="304" t="str">
        <f>СТАТИСТ!G17</f>
        <v>0,83</v>
      </c>
      <c r="CU2" s="247" t="str">
        <f>Ввод!$D$10</f>
        <v>Шичкина  Юлия Александровна</v>
      </c>
      <c r="CV2" s="247">
        <f>Ввод!$C$11</f>
        <v>4500</v>
      </c>
      <c r="CW2" s="247" t="str">
        <f>SUBSTITUTE(PROPER(INDEX(n_4,MID(TEXT(CV2,n0),1,1)+1)&amp;INDEX(n0x,MID(TEXT(CV2,n0),2,1)+1,MID(TEXT(CV2,n0),3,1)+1)&amp;IF(-MID(TEXT(CV2,n0),1,3),"миллиард"&amp;VLOOKUP(MID(TEXT(CV2,n0),3,1)*AND(MID(TEXT(CV2,n0),2,1)-1),мил,2),"")&amp;INDEX(n_4,MID(TEXT(CV2,n0),4,1)+1)&amp;INDEX(n0x,MID(TEXT(CV2,n0),5,1)+1,MID(TEXT(CV2,n0),6,1)+1)&amp;IF(-MID(TEXT(CV2,n0),4,3),"миллион"&amp;VLOOKUP(MID(TEXT(CV2,n0),6,1)*AND(MID(TEXT(CV2,n0),5,1)-1),мил,2),"")&amp;INDEX(n_4,MID(TEXT(CV2,n0),7,1)+1)&amp;INDEX(n1x,MID(TEXT(CV2,n0),8,1)+1,MID(TEXT(CV2,n0),9,1)+1)&amp;IF(-MID(TEXT(CV2,n0),7,3),VLOOKUP(MID(TEXT(CV2,n0),9,1)*AND(MID(TEXT(CV2,n0),8,1)-1),тыс,2),"")&amp;INDEX(n_4,MID(TEXT(CV2,n0),10,1)+1)&amp;INDEX(n0x,MID(TEXT(CV2,n0),11,1)+1,MID(TEXT(CV2,n0),12,1)+1)),"z"," ")&amp;IF(TRUNC(TEXT(CV2,n0)),"","Ноль ")&amp;"рубл"&amp;VLOOKUP(MOD(MAX(MOD(MID(TEXT(CV2,n0),11,2)-11,100),9),10),{0,"ь ";1,"я ";4,"ей "},2)&amp;RIGHT(TEXT(CV2,n0),2)&amp;" копе"&amp;VLOOKUP(MOD(MAX(MOD(RIGHT(TEXT(CV2,n0),2)-11,100),9),10),{0,"йка";1,"йки";4,"ек"},2)</f>
        <v>Четыре тысячи пятьсот рублей 00 копеек</v>
      </c>
      <c r="CX2" s="247" t="str">
        <f>Ввод!$C$3</f>
        <v>квартира</v>
      </c>
      <c r="CY2" s="247" t="str">
        <f>'Задание на оценку'!$L$20</f>
        <v>1 день с даты осмотра</v>
      </c>
      <c r="CZ2" s="247">
        <f>Ввод!$C$4</f>
        <v>2</v>
      </c>
    </row>
    <row r="3" spans="2:128" ht="52.5" customHeight="1" x14ac:dyDescent="0.25">
      <c r="E3" s="251"/>
      <c r="F3" s="251"/>
      <c r="M3" s="242"/>
      <c r="N3" s="243"/>
      <c r="BN3" s="300"/>
      <c r="BQ3" s="302"/>
      <c r="BR3" s="226"/>
      <c r="BV3" s="306"/>
    </row>
    <row r="4" spans="2:128" x14ac:dyDescent="0.25">
      <c r="E4" s="251"/>
      <c r="F4" s="251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70C0"/>
  </sheetPr>
  <dimension ref="A1:P54"/>
  <sheetViews>
    <sheetView workbookViewId="0">
      <selection activeCell="B3" sqref="B3"/>
    </sheetView>
  </sheetViews>
  <sheetFormatPr defaultRowHeight="12.75" x14ac:dyDescent="0.2"/>
  <cols>
    <col min="1" max="1" width="18.85546875" style="234" customWidth="1"/>
    <col min="2" max="2" width="9.7109375" style="234" bestFit="1" customWidth="1"/>
    <col min="3" max="256" width="9.140625" style="234"/>
    <col min="257" max="257" width="18.85546875" style="234" customWidth="1"/>
    <col min="258" max="258" width="9.7109375" style="234" bestFit="1" customWidth="1"/>
    <col min="259" max="512" width="9.140625" style="234"/>
    <col min="513" max="513" width="18.85546875" style="234" customWidth="1"/>
    <col min="514" max="514" width="9.7109375" style="234" bestFit="1" customWidth="1"/>
    <col min="515" max="768" width="9.140625" style="234"/>
    <col min="769" max="769" width="18.85546875" style="234" customWidth="1"/>
    <col min="770" max="770" width="9.7109375" style="234" bestFit="1" customWidth="1"/>
    <col min="771" max="1024" width="9.140625" style="234"/>
    <col min="1025" max="1025" width="18.85546875" style="234" customWidth="1"/>
    <col min="1026" max="1026" width="9.7109375" style="234" bestFit="1" customWidth="1"/>
    <col min="1027" max="1280" width="9.140625" style="234"/>
    <col min="1281" max="1281" width="18.85546875" style="234" customWidth="1"/>
    <col min="1282" max="1282" width="9.7109375" style="234" bestFit="1" customWidth="1"/>
    <col min="1283" max="1536" width="9.140625" style="234"/>
    <col min="1537" max="1537" width="18.85546875" style="234" customWidth="1"/>
    <col min="1538" max="1538" width="9.7109375" style="234" bestFit="1" customWidth="1"/>
    <col min="1539" max="1792" width="9.140625" style="234"/>
    <col min="1793" max="1793" width="18.85546875" style="234" customWidth="1"/>
    <col min="1794" max="1794" width="9.7109375" style="234" bestFit="1" customWidth="1"/>
    <col min="1795" max="2048" width="9.140625" style="234"/>
    <col min="2049" max="2049" width="18.85546875" style="234" customWidth="1"/>
    <col min="2050" max="2050" width="9.7109375" style="234" bestFit="1" customWidth="1"/>
    <col min="2051" max="2304" width="9.140625" style="234"/>
    <col min="2305" max="2305" width="18.85546875" style="234" customWidth="1"/>
    <col min="2306" max="2306" width="9.7109375" style="234" bestFit="1" customWidth="1"/>
    <col min="2307" max="2560" width="9.140625" style="234"/>
    <col min="2561" max="2561" width="18.85546875" style="234" customWidth="1"/>
    <col min="2562" max="2562" width="9.7109375" style="234" bestFit="1" customWidth="1"/>
    <col min="2563" max="2816" width="9.140625" style="234"/>
    <col min="2817" max="2817" width="18.85546875" style="234" customWidth="1"/>
    <col min="2818" max="2818" width="9.7109375" style="234" bestFit="1" customWidth="1"/>
    <col min="2819" max="3072" width="9.140625" style="234"/>
    <col min="3073" max="3073" width="18.85546875" style="234" customWidth="1"/>
    <col min="3074" max="3074" width="9.7109375" style="234" bestFit="1" customWidth="1"/>
    <col min="3075" max="3328" width="9.140625" style="234"/>
    <col min="3329" max="3329" width="18.85546875" style="234" customWidth="1"/>
    <col min="3330" max="3330" width="9.7109375" style="234" bestFit="1" customWidth="1"/>
    <col min="3331" max="3584" width="9.140625" style="234"/>
    <col min="3585" max="3585" width="18.85546875" style="234" customWidth="1"/>
    <col min="3586" max="3586" width="9.7109375" style="234" bestFit="1" customWidth="1"/>
    <col min="3587" max="3840" width="9.140625" style="234"/>
    <col min="3841" max="3841" width="18.85546875" style="234" customWidth="1"/>
    <col min="3842" max="3842" width="9.7109375" style="234" bestFit="1" customWidth="1"/>
    <col min="3843" max="4096" width="9.140625" style="234"/>
    <col min="4097" max="4097" width="18.85546875" style="234" customWidth="1"/>
    <col min="4098" max="4098" width="9.7109375" style="234" bestFit="1" customWidth="1"/>
    <col min="4099" max="4352" width="9.140625" style="234"/>
    <col min="4353" max="4353" width="18.85546875" style="234" customWidth="1"/>
    <col min="4354" max="4354" width="9.7109375" style="234" bestFit="1" customWidth="1"/>
    <col min="4355" max="4608" width="9.140625" style="234"/>
    <col min="4609" max="4609" width="18.85546875" style="234" customWidth="1"/>
    <col min="4610" max="4610" width="9.7109375" style="234" bestFit="1" customWidth="1"/>
    <col min="4611" max="4864" width="9.140625" style="234"/>
    <col min="4865" max="4865" width="18.85546875" style="234" customWidth="1"/>
    <col min="4866" max="4866" width="9.7109375" style="234" bestFit="1" customWidth="1"/>
    <col min="4867" max="5120" width="9.140625" style="234"/>
    <col min="5121" max="5121" width="18.85546875" style="234" customWidth="1"/>
    <col min="5122" max="5122" width="9.7109375" style="234" bestFit="1" customWidth="1"/>
    <col min="5123" max="5376" width="9.140625" style="234"/>
    <col min="5377" max="5377" width="18.85546875" style="234" customWidth="1"/>
    <col min="5378" max="5378" width="9.7109375" style="234" bestFit="1" customWidth="1"/>
    <col min="5379" max="5632" width="9.140625" style="234"/>
    <col min="5633" max="5633" width="18.85546875" style="234" customWidth="1"/>
    <col min="5634" max="5634" width="9.7109375" style="234" bestFit="1" customWidth="1"/>
    <col min="5635" max="5888" width="9.140625" style="234"/>
    <col min="5889" max="5889" width="18.85546875" style="234" customWidth="1"/>
    <col min="5890" max="5890" width="9.7109375" style="234" bestFit="1" customWidth="1"/>
    <col min="5891" max="6144" width="9.140625" style="234"/>
    <col min="6145" max="6145" width="18.85546875" style="234" customWidth="1"/>
    <col min="6146" max="6146" width="9.7109375" style="234" bestFit="1" customWidth="1"/>
    <col min="6147" max="6400" width="9.140625" style="234"/>
    <col min="6401" max="6401" width="18.85546875" style="234" customWidth="1"/>
    <col min="6402" max="6402" width="9.7109375" style="234" bestFit="1" customWidth="1"/>
    <col min="6403" max="6656" width="9.140625" style="234"/>
    <col min="6657" max="6657" width="18.85546875" style="234" customWidth="1"/>
    <col min="6658" max="6658" width="9.7109375" style="234" bestFit="1" customWidth="1"/>
    <col min="6659" max="6912" width="9.140625" style="234"/>
    <col min="6913" max="6913" width="18.85546875" style="234" customWidth="1"/>
    <col min="6914" max="6914" width="9.7109375" style="234" bestFit="1" customWidth="1"/>
    <col min="6915" max="7168" width="9.140625" style="234"/>
    <col min="7169" max="7169" width="18.85546875" style="234" customWidth="1"/>
    <col min="7170" max="7170" width="9.7109375" style="234" bestFit="1" customWidth="1"/>
    <col min="7171" max="7424" width="9.140625" style="234"/>
    <col min="7425" max="7425" width="18.85546875" style="234" customWidth="1"/>
    <col min="7426" max="7426" width="9.7109375" style="234" bestFit="1" customWidth="1"/>
    <col min="7427" max="7680" width="9.140625" style="234"/>
    <col min="7681" max="7681" width="18.85546875" style="234" customWidth="1"/>
    <col min="7682" max="7682" width="9.7109375" style="234" bestFit="1" customWidth="1"/>
    <col min="7683" max="7936" width="9.140625" style="234"/>
    <col min="7937" max="7937" width="18.85546875" style="234" customWidth="1"/>
    <col min="7938" max="7938" width="9.7109375" style="234" bestFit="1" customWidth="1"/>
    <col min="7939" max="8192" width="9.140625" style="234"/>
    <col min="8193" max="8193" width="18.85546875" style="234" customWidth="1"/>
    <col min="8194" max="8194" width="9.7109375" style="234" bestFit="1" customWidth="1"/>
    <col min="8195" max="8448" width="9.140625" style="234"/>
    <col min="8449" max="8449" width="18.85546875" style="234" customWidth="1"/>
    <col min="8450" max="8450" width="9.7109375" style="234" bestFit="1" customWidth="1"/>
    <col min="8451" max="8704" width="9.140625" style="234"/>
    <col min="8705" max="8705" width="18.85546875" style="234" customWidth="1"/>
    <col min="8706" max="8706" width="9.7109375" style="234" bestFit="1" customWidth="1"/>
    <col min="8707" max="8960" width="9.140625" style="234"/>
    <col min="8961" max="8961" width="18.85546875" style="234" customWidth="1"/>
    <col min="8962" max="8962" width="9.7109375" style="234" bestFit="1" customWidth="1"/>
    <col min="8963" max="9216" width="9.140625" style="234"/>
    <col min="9217" max="9217" width="18.85546875" style="234" customWidth="1"/>
    <col min="9218" max="9218" width="9.7109375" style="234" bestFit="1" customWidth="1"/>
    <col min="9219" max="9472" width="9.140625" style="234"/>
    <col min="9473" max="9473" width="18.85546875" style="234" customWidth="1"/>
    <col min="9474" max="9474" width="9.7109375" style="234" bestFit="1" customWidth="1"/>
    <col min="9475" max="9728" width="9.140625" style="234"/>
    <col min="9729" max="9729" width="18.85546875" style="234" customWidth="1"/>
    <col min="9730" max="9730" width="9.7109375" style="234" bestFit="1" customWidth="1"/>
    <col min="9731" max="9984" width="9.140625" style="234"/>
    <col min="9985" max="9985" width="18.85546875" style="234" customWidth="1"/>
    <col min="9986" max="9986" width="9.7109375" style="234" bestFit="1" customWidth="1"/>
    <col min="9987" max="10240" width="9.140625" style="234"/>
    <col min="10241" max="10241" width="18.85546875" style="234" customWidth="1"/>
    <col min="10242" max="10242" width="9.7109375" style="234" bestFit="1" customWidth="1"/>
    <col min="10243" max="10496" width="9.140625" style="234"/>
    <col min="10497" max="10497" width="18.85546875" style="234" customWidth="1"/>
    <col min="10498" max="10498" width="9.7109375" style="234" bestFit="1" customWidth="1"/>
    <col min="10499" max="10752" width="9.140625" style="234"/>
    <col min="10753" max="10753" width="18.85546875" style="234" customWidth="1"/>
    <col min="10754" max="10754" width="9.7109375" style="234" bestFit="1" customWidth="1"/>
    <col min="10755" max="11008" width="9.140625" style="234"/>
    <col min="11009" max="11009" width="18.85546875" style="234" customWidth="1"/>
    <col min="11010" max="11010" width="9.7109375" style="234" bestFit="1" customWidth="1"/>
    <col min="11011" max="11264" width="9.140625" style="234"/>
    <col min="11265" max="11265" width="18.85546875" style="234" customWidth="1"/>
    <col min="11266" max="11266" width="9.7109375" style="234" bestFit="1" customWidth="1"/>
    <col min="11267" max="11520" width="9.140625" style="234"/>
    <col min="11521" max="11521" width="18.85546875" style="234" customWidth="1"/>
    <col min="11522" max="11522" width="9.7109375" style="234" bestFit="1" customWidth="1"/>
    <col min="11523" max="11776" width="9.140625" style="234"/>
    <col min="11777" max="11777" width="18.85546875" style="234" customWidth="1"/>
    <col min="11778" max="11778" width="9.7109375" style="234" bestFit="1" customWidth="1"/>
    <col min="11779" max="12032" width="9.140625" style="234"/>
    <col min="12033" max="12033" width="18.85546875" style="234" customWidth="1"/>
    <col min="12034" max="12034" width="9.7109375" style="234" bestFit="1" customWidth="1"/>
    <col min="12035" max="12288" width="9.140625" style="234"/>
    <col min="12289" max="12289" width="18.85546875" style="234" customWidth="1"/>
    <col min="12290" max="12290" width="9.7109375" style="234" bestFit="1" customWidth="1"/>
    <col min="12291" max="12544" width="9.140625" style="234"/>
    <col min="12545" max="12545" width="18.85546875" style="234" customWidth="1"/>
    <col min="12546" max="12546" width="9.7109375" style="234" bestFit="1" customWidth="1"/>
    <col min="12547" max="12800" width="9.140625" style="234"/>
    <col min="12801" max="12801" width="18.85546875" style="234" customWidth="1"/>
    <col min="12802" max="12802" width="9.7109375" style="234" bestFit="1" customWidth="1"/>
    <col min="12803" max="13056" width="9.140625" style="234"/>
    <col min="13057" max="13057" width="18.85546875" style="234" customWidth="1"/>
    <col min="13058" max="13058" width="9.7109375" style="234" bestFit="1" customWidth="1"/>
    <col min="13059" max="13312" width="9.140625" style="234"/>
    <col min="13313" max="13313" width="18.85546875" style="234" customWidth="1"/>
    <col min="13314" max="13314" width="9.7109375" style="234" bestFit="1" customWidth="1"/>
    <col min="13315" max="13568" width="9.140625" style="234"/>
    <col min="13569" max="13569" width="18.85546875" style="234" customWidth="1"/>
    <col min="13570" max="13570" width="9.7109375" style="234" bestFit="1" customWidth="1"/>
    <col min="13571" max="13824" width="9.140625" style="234"/>
    <col min="13825" max="13825" width="18.85546875" style="234" customWidth="1"/>
    <col min="13826" max="13826" width="9.7109375" style="234" bestFit="1" customWidth="1"/>
    <col min="13827" max="14080" width="9.140625" style="234"/>
    <col min="14081" max="14081" width="18.85546875" style="234" customWidth="1"/>
    <col min="14082" max="14082" width="9.7109375" style="234" bestFit="1" customWidth="1"/>
    <col min="14083" max="14336" width="9.140625" style="234"/>
    <col min="14337" max="14337" width="18.85546875" style="234" customWidth="1"/>
    <col min="14338" max="14338" width="9.7109375" style="234" bestFit="1" customWidth="1"/>
    <col min="14339" max="14592" width="9.140625" style="234"/>
    <col min="14593" max="14593" width="18.85546875" style="234" customWidth="1"/>
    <col min="14594" max="14594" width="9.7109375" style="234" bestFit="1" customWidth="1"/>
    <col min="14595" max="14848" width="9.140625" style="234"/>
    <col min="14849" max="14849" width="18.85546875" style="234" customWidth="1"/>
    <col min="14850" max="14850" width="9.7109375" style="234" bestFit="1" customWidth="1"/>
    <col min="14851" max="15104" width="9.140625" style="234"/>
    <col min="15105" max="15105" width="18.85546875" style="234" customWidth="1"/>
    <col min="15106" max="15106" width="9.7109375" style="234" bestFit="1" customWidth="1"/>
    <col min="15107" max="15360" width="9.140625" style="234"/>
    <col min="15361" max="15361" width="18.85546875" style="234" customWidth="1"/>
    <col min="15362" max="15362" width="9.7109375" style="234" bestFit="1" customWidth="1"/>
    <col min="15363" max="15616" width="9.140625" style="234"/>
    <col min="15617" max="15617" width="18.85546875" style="234" customWidth="1"/>
    <col min="15618" max="15618" width="9.7109375" style="234" bestFit="1" customWidth="1"/>
    <col min="15619" max="15872" width="9.140625" style="234"/>
    <col min="15873" max="15873" width="18.85546875" style="234" customWidth="1"/>
    <col min="15874" max="15874" width="9.7109375" style="234" bestFit="1" customWidth="1"/>
    <col min="15875" max="16128" width="9.140625" style="234"/>
    <col min="16129" max="16129" width="18.85546875" style="234" customWidth="1"/>
    <col min="16130" max="16130" width="9.7109375" style="234" bestFit="1" customWidth="1"/>
    <col min="16131" max="16384" width="9.140625" style="234"/>
  </cols>
  <sheetData>
    <row r="1" spans="1:13" s="229" customFormat="1" ht="18" x14ac:dyDescent="0.25">
      <c r="A1" s="229" t="s">
        <v>67</v>
      </c>
      <c r="B1" s="230"/>
    </row>
    <row r="2" spans="1:13" s="231" customFormat="1" x14ac:dyDescent="0.2">
      <c r="B2" s="232"/>
    </row>
    <row r="3" spans="1:13" x14ac:dyDescent="0.2">
      <c r="A3" s="233">
        <v>999999999999.98999</v>
      </c>
      <c r="B3" s="230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n0x,MID(TEXT(A3,n0),11,1)+1,MID(TEXT(A3,n0),12,1)+1)),"z"," ")&amp;IF(TRUNC(TEXT(A3,n0)),"","Ноль ")&amp;"рубл"&amp;VLOOKUP(MOD(MAX(MOD(MID(TEXT(A3,n0),11,2)-11,100),9),10),{0,"ь ";1,"я ";4,"ей "},2)&amp;RIGHT(TEXT(A3,n0),2)&amp;" копе"&amp;VLOOKUP(MOD(MAX(MOD(RIGHT(TEXT(A3,n0),2)-11,100),9),10),{0,"йка";1,"йки";4,"ек"},2)</f>
        <v>Девятьсот девяносто девять миллиардов девятьсот девяносто девять миллионов девятьсот девяносто девять тысяч девятьсот девяносто девять рублей 99 копеек</v>
      </c>
    </row>
    <row r="4" spans="1:13" s="235" customFormat="1" x14ac:dyDescent="0.2">
      <c r="A4" s="235" t="s">
        <v>68</v>
      </c>
      <c r="F4" s="234"/>
      <c r="G4" s="234"/>
      <c r="H4" s="234"/>
      <c r="J4" s="234"/>
      <c r="K4" s="234"/>
      <c r="L4" s="234"/>
      <c r="M4" s="234"/>
    </row>
    <row r="5" spans="1:13" x14ac:dyDescent="0.2">
      <c r="A5" s="233">
        <v>0.23</v>
      </c>
      <c r="B5" s="230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n0x,MID(TEXT(A5,n0),11,1)+1,MID(TEXT(A5,n0),12,1)+1)),"z"," ")&amp;IF(TRUNC(TEXT(A5,n0)),"","Ноль ")&amp;"рубл"&amp;VLOOKUP(MOD(MAX(MOD(MID(TEXT(A5,n0),11,2)-11,100),9),10),{0,"ь ";1,"я ";4,"ей "},2)&amp;RIGHT(TEXT(A5,n0),2)&amp;" копе"&amp;VLOOKUP(MOD(MAX(MOD(RIGHT(TEXT(A5,n0),2)-11,100),9),10),{0,"йка";1,"йки";4,"ек"},2)</f>
        <v>Ноль рублей 23 копейки</v>
      </c>
    </row>
    <row r="6" spans="1:13" x14ac:dyDescent="0.2">
      <c r="A6" s="233">
        <v>1</v>
      </c>
      <c r="B6" s="230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n0x,MID(TEXT(A6,n0),11,1)+1,MID(TEXT(A6,n0),12,1)+1)),"z"," ")&amp;IF(TRUNC(TEXT(A6,n0)),"","Ноль ")&amp;"рубл"&amp;VLOOKUP(MOD(MAX(MOD(MID(TEXT(A6,n0),11,2)-11,100),9),10),{0,"ь ";1,"я ";4,"ей "},2)&amp;RIGHT(TEXT(A6,n0),2)&amp;" копе"&amp;VLOOKUP(MOD(MAX(MOD(RIGHT(TEXT(A6,n0),2)-11,100),9),10),{0,"йка";1,"йки";4,"ек"},2)</f>
        <v>Один рубль 00 копеек</v>
      </c>
    </row>
    <row r="7" spans="1:13" x14ac:dyDescent="0.2">
      <c r="A7" s="233">
        <v>2.0099999999999998</v>
      </c>
      <c r="B7" s="230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n0x,MID(TEXT(A7,n0),11,1)+1,MID(TEXT(A7,n0),12,1)+1)),"z"," ")&amp;IF(TRUNC(TEXT(A7,n0)),"","Ноль ")&amp;"рубл"&amp;VLOOKUP(MOD(MAX(MOD(MID(TEXT(A7,n0),11,2)-11,100),9),10),{0,"ь ";1,"я ";4,"ей "},2)&amp;RIGHT(TEXT(A7,n0),2)&amp;" копе"&amp;VLOOKUP(MOD(MAX(MOD(RIGHT(TEXT(A7,n0),2)-11,100),9),10),{0,"йка";1,"йки";4,"ек"},2)</f>
        <v>Два рубля 01 копейка</v>
      </c>
    </row>
    <row r="8" spans="1:13" x14ac:dyDescent="0.2">
      <c r="A8" s="233">
        <v>4.99</v>
      </c>
      <c r="B8" s="230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n0x,MID(TEXT(A8,n0),11,1)+1,MID(TEXT(A8,n0),12,1)+1)),"z"," ")&amp;IF(TRUNC(TEXT(A8,n0)),"","Ноль ")&amp;"рубл"&amp;VLOOKUP(MOD(MAX(MOD(MID(TEXT(A8,n0),11,2)-11,100),9),10),{0,"ь ";1,"я ";4,"ей "},2)&amp;RIGHT(TEXT(A8,n0),2)&amp;" копе"&amp;VLOOKUP(MOD(MAX(MOD(RIGHT(TEXT(A8,n0),2)-11,100),9),10),{0,"йка";1,"йки";4,"ек"},2)</f>
        <v>Четыре рубля 99 копеек</v>
      </c>
    </row>
    <row r="9" spans="1:13" x14ac:dyDescent="0.2">
      <c r="A9" s="233">
        <v>5.1100000000000003</v>
      </c>
      <c r="B9" s="230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n0x,MID(TEXT(A9,n0),11,1)+1,MID(TEXT(A9,n0),12,1)+1)),"z"," ")&amp;IF(TRUNC(TEXT(A9,n0)),"","Ноль ")&amp;"рубл"&amp;VLOOKUP(MOD(MAX(MOD(MID(TEXT(A9,n0),11,2)-11,100),9),10),{0,"ь ";1,"я ";4,"ей "},2)&amp;RIGHT(TEXT(A9,n0),2)&amp;" копе"&amp;VLOOKUP(MOD(MAX(MOD(RIGHT(TEXT(A9,n0),2)-11,100),9),10),{0,"йка";1,"йки";4,"ек"},2)</f>
        <v>Пять рублей 11 копеек</v>
      </c>
    </row>
    <row r="10" spans="1:13" x14ac:dyDescent="0.2">
      <c r="A10" s="233">
        <v>10.119999999999999</v>
      </c>
      <c r="B10" s="230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n0x,MID(TEXT(A10,n0),11,1)+1,MID(TEXT(A10,n0),12,1)+1)),"z"," ")&amp;IF(TRUNC(TEXT(A10,n0)),"","Ноль ")&amp;"рубл"&amp;VLOOKUP(MOD(MAX(MOD(MID(TEXT(A10,n0),11,2)-11,100),9),10),{0,"ь ";1,"я ";4,"ей "},2)&amp;RIGHT(TEXT(A10,n0),2)&amp;" копе"&amp;VLOOKUP(MOD(MAX(MOD(RIGHT(TEXT(A10,n0),2)-11,100),9),10),{0,"йка";1,"йки";4,"ек"},2)</f>
        <v>Десять рублей 12 копеек</v>
      </c>
    </row>
    <row r="11" spans="1:13" x14ac:dyDescent="0.2">
      <c r="A11" s="233">
        <v>11.21</v>
      </c>
      <c r="B11" s="230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n0x,MID(TEXT(A11,n0),11,1)+1,MID(TEXT(A11,n0),12,1)+1)),"z"," ")&amp;IF(TRUNC(TEXT(A11,n0)),"","Ноль ")&amp;"рубл"&amp;VLOOKUP(MOD(MAX(MOD(MID(TEXT(A11,n0),11,2)-11,100),9),10),{0,"ь ";1,"я ";4,"ей "},2)&amp;RIGHT(TEXT(A11,n0),2)&amp;" копе"&amp;VLOOKUP(MOD(MAX(MOD(RIGHT(TEXT(A11,n0),2)-11,100),9),10),{0,"йка";1,"йки";4,"ек"},2)</f>
        <v>Одиннадцать рублей 21 копейка</v>
      </c>
    </row>
    <row r="12" spans="1:13" x14ac:dyDescent="0.2">
      <c r="A12" s="233">
        <v>12.43</v>
      </c>
      <c r="B12" s="230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n0x,MID(TEXT(A12,n0),11,1)+1,MID(TEXT(A12,n0),12,1)+1)),"z"," ")&amp;IF(TRUNC(TEXT(A12,n0)),"","Ноль ")&amp;"рубл"&amp;VLOOKUP(MOD(MAX(MOD(MID(TEXT(A12,n0),11,2)-11,100),9),10),{0,"ь ";1,"я ";4,"ей "},2)&amp;RIGHT(TEXT(A12,n0),2)&amp;" копе"&amp;VLOOKUP(MOD(MAX(MOD(RIGHT(TEXT(A12,n0),2)-11,100),9),10),{0,"йка";1,"йки";4,"ек"},2)</f>
        <v>Двенадцать рублей 43 копейки</v>
      </c>
    </row>
    <row r="13" spans="1:13" x14ac:dyDescent="0.2">
      <c r="A13" s="233">
        <v>21</v>
      </c>
      <c r="B13" s="230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n0x,MID(TEXT(A13,n0),11,1)+1,MID(TEXT(A13,n0),12,1)+1)),"z"," ")&amp;IF(TRUNC(TEXT(A13,n0)),"","Ноль ")&amp;"рубл"&amp;VLOOKUP(MOD(MAX(MOD(MID(TEXT(A13,n0),11,2)-11,100),9),10),{0,"ь ";1,"я ";4,"ей "},2)&amp;RIGHT(TEXT(A13,n0),2)&amp;" копе"&amp;VLOOKUP(MOD(MAX(MOD(RIGHT(TEXT(A13,n0),2)-11,100),9),10),{0,"йка";1,"йки";4,"ек"},2)</f>
        <v>Двадцать один рубль 00 копеек</v>
      </c>
    </row>
    <row r="14" spans="1:13" x14ac:dyDescent="0.2">
      <c r="A14" s="233">
        <v>100</v>
      </c>
      <c r="B14" s="230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n0x,MID(TEXT(A14,n0),11,1)+1,MID(TEXT(A14,n0),12,1)+1)),"z"," ")&amp;IF(TRUNC(TEXT(A14,n0)),"","Ноль ")&amp;"рубл"&amp;VLOOKUP(MOD(MAX(MOD(MID(TEXT(A14,n0),11,2)-11,100),9),10),{0,"ь ";1,"я ";4,"ей "},2)&amp;RIGHT(TEXT(A14,n0),2)&amp;" копе"&amp;VLOOKUP(MOD(MAX(MOD(RIGHT(TEXT(A14,n0),2)-11,100),9),10),{0,"йка";1,"йки";4,"ек"},2)</f>
        <v>Сто рублей 00 копеек</v>
      </c>
    </row>
    <row r="15" spans="1:13" x14ac:dyDescent="0.2">
      <c r="A15" s="233">
        <v>101.2</v>
      </c>
      <c r="B15" s="230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n0x,MID(TEXT(A15,n0),11,1)+1,MID(TEXT(A15,n0),12,1)+1)),"z"," ")&amp;IF(TRUNC(TEXT(A15,n0)),"","Ноль ")&amp;"рубл"&amp;VLOOKUP(MOD(MAX(MOD(MID(TEXT(A15,n0),11,2)-11,100),9),10),{0,"ь ";1,"я ";4,"ей "},2)&amp;RIGHT(TEXT(A15,n0),2)&amp;" копе"&amp;VLOOKUP(MOD(MAX(MOD(RIGHT(TEXT(A15,n0),2)-11,100),9),10),{0,"йка";1,"йки";4,"ек"},2)</f>
        <v>Сто один рубль 20 копеек</v>
      </c>
    </row>
    <row r="16" spans="1:13" x14ac:dyDescent="0.2">
      <c r="A16" s="233">
        <v>121.22</v>
      </c>
      <c r="B16" s="230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n0x,MID(TEXT(A16,n0),11,1)+1,MID(TEXT(A16,n0),12,1)+1)),"z"," ")&amp;IF(TRUNC(TEXT(A16,n0)),"","Ноль ")&amp;"рубл"&amp;VLOOKUP(MOD(MAX(MOD(MID(TEXT(A16,n0),11,2)-11,100),9),10),{0,"ь ";1,"я ";4,"ей "},2)&amp;RIGHT(TEXT(A16,n0),2)&amp;" копе"&amp;VLOOKUP(MOD(MAX(MOD(RIGHT(TEXT(A16,n0),2)-11,100),9),10),{0,"йка";1,"йки";4,"ек"},2)</f>
        <v>Сто двадцать один рубль 22 копейки</v>
      </c>
    </row>
    <row r="17" spans="1:16" x14ac:dyDescent="0.2">
      <c r="A17" s="233">
        <v>1000.16</v>
      </c>
      <c r="B17" s="230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n0x,MID(TEXT(A17,n0),11,1)+1,MID(TEXT(A17,n0),12,1)+1)),"z"," ")&amp;IF(TRUNC(TEXT(A17,n0)),"","Ноль ")&amp;"рубл"&amp;VLOOKUP(MOD(MAX(MOD(MID(TEXT(A17,n0),11,2)-11,100),9),10),{0,"ь ";1,"я ";4,"ей "},2)&amp;RIGHT(TEXT(A17,n0),2)&amp;" копе"&amp;VLOOKUP(MOD(MAX(MOD(RIGHT(TEXT(A17,n0),2)-11,100),9),10),{0,"йка";1,"йки";4,"ек"},2)</f>
        <v>Одна тысяча рублей 16 копеек</v>
      </c>
    </row>
    <row r="18" spans="1:16" x14ac:dyDescent="0.2">
      <c r="A18" s="233">
        <v>1002.51</v>
      </c>
      <c r="B18" s="230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n0x,MID(TEXT(A18,n0),11,1)+1,MID(TEXT(A18,n0),12,1)+1)),"z"," ")&amp;IF(TRUNC(TEXT(A18,n0)),"","Ноль ")&amp;"рубл"&amp;VLOOKUP(MOD(MAX(MOD(MID(TEXT(A18,n0),11,2)-11,100),9),10),{0,"ь ";1,"я ";4,"ей "},2)&amp;RIGHT(TEXT(A18,n0),2)&amp;" копе"&amp;VLOOKUP(MOD(MAX(MOD(RIGHT(TEXT(A18,n0),2)-11,100),9),10),{0,"йка";1,"йки";4,"ек"},2)</f>
        <v>Одна тысяча два рубля 51 копейка</v>
      </c>
    </row>
    <row r="19" spans="1:16" x14ac:dyDescent="0.2">
      <c r="A19" s="233">
        <v>120101.1</v>
      </c>
      <c r="B19" s="230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n0x,MID(TEXT(A19,n0),11,1)+1,MID(TEXT(A19,n0),12,1)+1)),"z"," ")&amp;IF(TRUNC(TEXT(A19,n0)),"","Ноль ")&amp;"рубл"&amp;VLOOKUP(MOD(MAX(MOD(MID(TEXT(A19,n0),11,2)-11,100),9),10),{0,"ь ";1,"я ";4,"ей "},2)&amp;RIGHT(TEXT(A19,n0),2)&amp;" копе"&amp;VLOOKUP(MOD(MAX(MOD(RIGHT(TEXT(A19,n0),2)-11,100),9),10),{0,"йка";1,"йки";4,"ек"},2)</f>
        <v>Сто двадцать тысяч сто один рубль 10 копеек</v>
      </c>
    </row>
    <row r="20" spans="1:16" x14ac:dyDescent="0.2">
      <c r="A20" s="233">
        <v>2000000</v>
      </c>
      <c r="B20" s="230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n0x,MID(TEXT(A20,n0),11,1)+1,MID(TEXT(A20,n0),12,1)+1)),"z"," ")&amp;IF(TRUNC(TEXT(A20,n0)),"","Ноль ")&amp;"рубл"&amp;VLOOKUP(MOD(MAX(MOD(MID(TEXT(A20,n0),11,2)-11,100),9),10),{0,"ь ";1,"я ";4,"ей "},2)&amp;RIGHT(TEXT(A20,n0),2)&amp;" копе"&amp;VLOOKUP(MOD(MAX(MOD(RIGHT(TEXT(A20,n0),2)-11,100),9),10),{0,"йка";1,"йки";4,"ек"},2)</f>
        <v>Два миллиона рублей 00 копеек</v>
      </c>
    </row>
    <row r="21" spans="1:16" x14ac:dyDescent="0.2">
      <c r="A21" s="233">
        <v>11102345.23</v>
      </c>
      <c r="B21" s="230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n0x,MID(TEXT(A21,n0),11,1)+1,MID(TEXT(A21,n0),12,1)+1)),"z"," ")&amp;IF(TRUNC(TEXT(A21,n0)),"","Ноль ")&amp;"рубл"&amp;VLOOKUP(MOD(MAX(MOD(MID(TEXT(A21,n0),11,2)-11,100),9),10),{0,"ь ";1,"я ";4,"ей "},2)&amp;RIGHT(TEXT(A21,n0),2)&amp;" копе"&amp;VLOOKUP(MOD(MAX(MOD(RIGHT(TEXT(A21,n0),2)-11,100),9),10),{0,"йка";1,"йки";4,"ек"},2)</f>
        <v>Одиннадцать миллионов сто две тысячи триста сорок пять рублей 23 копейки</v>
      </c>
    </row>
    <row r="22" spans="1:16" x14ac:dyDescent="0.2">
      <c r="A22" s="233">
        <v>123456789.31999999</v>
      </c>
      <c r="B22" s="230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n0x,MID(TEXT(A22,n0),11,1)+1,MID(TEXT(A22,n0),12,1)+1)),"z"," ")&amp;IF(TRUNC(TEXT(A22,n0)),"","Ноль ")&amp;"рубл"&amp;VLOOKUP(MOD(MAX(MOD(MID(TEXT(A22,n0),11,2)-11,100),9),10),{0,"ь ";1,"я ";4,"ей "},2)&amp;RIGHT(TEXT(A22,n0),2)&amp;" копе"&amp;VLOOKUP(MOD(MAX(MOD(RIGHT(TEXT(A22,n0),2)-11,100),9),10),{0,"йка";1,"йки";4,"ек"},2)</f>
        <v>Сто двадцать три миллиона четыреста пятьдесят шесть тысяч семьсот восемьдесят девять рублей 32 копейки</v>
      </c>
    </row>
    <row r="23" spans="1:16" x14ac:dyDescent="0.2">
      <c r="A23" s="233"/>
      <c r="B23" s="230"/>
      <c r="P23" s="236"/>
    </row>
    <row r="24" spans="1:16" s="235" customFormat="1" x14ac:dyDescent="0.2">
      <c r="A24" s="237" t="s">
        <v>69</v>
      </c>
      <c r="J24" s="234"/>
      <c r="K24" s="234"/>
      <c r="L24" s="234"/>
      <c r="M24" s="234"/>
    </row>
    <row r="25" spans="1:16" x14ac:dyDescent="0.2">
      <c r="A25" s="233">
        <f ca="1">ROUND((RAND()*1000000),2)</f>
        <v>829726.3</v>
      </c>
      <c r="B25" s="230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n0x,MID(TEXT(A25,n0),11,1)+1,MID(TEXT(A25,n0),12,1)+1)),"z"," ")&amp;IF(TRUNC(TEXT(A25,n0)),"","Ноль ")&amp;"рубл"&amp;VLOOKUP(MOD(MAX(MOD(MID(TEXT(A25,n0),11,2)-11,100),9),10),{0,"ь ";1,"я ";4,"ей "},2)&amp;RIGHT(TEXT(A25,n0),2)&amp;" копе"&amp;VLOOKUP(MOD(MAX(MOD(RIGHT(TEXT(A25,n0),2)-11,100),9),10),{0,"йка";1,"йки";4,"ек"},2)</f>
        <v>Восемьсот двадцать девять тысяч семьсот двадцать шесть рублей 30 копеек</v>
      </c>
    </row>
    <row r="26" spans="1:16" x14ac:dyDescent="0.2">
      <c r="A26" s="233">
        <f ca="1">ROUND((RAND()*10000000),2)</f>
        <v>6052490.8200000003</v>
      </c>
      <c r="B26" s="230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n0x,MID(TEXT(A26,n0),11,1)+1,MID(TEXT(A26,n0),12,1)+1)),"z"," ")&amp;IF(TRUNC(TEXT(A26,n0)),"","Ноль ")&amp;"рубл"&amp;VLOOKUP(MOD(MAX(MOD(MID(TEXT(A26,n0),11,2)-11,100),9),10),{0,"ь ";1,"я ";4,"ей "},2)&amp;RIGHT(TEXT(A26,n0),2)&amp;" копе"&amp;VLOOKUP(MOD(MAX(MOD(RIGHT(TEXT(A26,n0),2)-11,100),9),10),{0,"йка";1,"йки";4,"ек"},2)</f>
        <v>Шесть миллионов пятьдесят две тысячи четыреста девяносто рублей 82 копейки</v>
      </c>
    </row>
    <row r="27" spans="1:16" x14ac:dyDescent="0.2">
      <c r="A27" s="233">
        <f ca="1">ROUND((RAND()*100000000),2)</f>
        <v>62168241.380000003</v>
      </c>
      <c r="B27" s="230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n0x,MID(TEXT(A27,n0),11,1)+1,MID(TEXT(A27,n0),12,1)+1)),"z"," ")&amp;IF(TRUNC(TEXT(A27,n0)),"","Ноль ")&amp;"рубл"&amp;VLOOKUP(MOD(MAX(MOD(MID(TEXT(A27,n0),11,2)-11,100),9),10),{0,"ь ";1,"я ";4,"ей "},2)&amp;RIGHT(TEXT(A27,n0),2)&amp;" копе"&amp;VLOOKUP(MOD(MAX(MOD(RIGHT(TEXT(A27,n0),2)-11,100),9),10),{0,"йка";1,"йки";4,"ек"},2)</f>
        <v>Шестьдесят два миллиона сто шестьдесят восемь тысяч двести сорок один рубль 38 копеек</v>
      </c>
    </row>
    <row r="28" spans="1:16" x14ac:dyDescent="0.2">
      <c r="A28" s="233">
        <f ca="1">ROUND((RAND()*1000000000),2)</f>
        <v>638307586.41999996</v>
      </c>
      <c r="B28" s="230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n0x,MID(TEXT(A28,n0),11,1)+1,MID(TEXT(A28,n0),12,1)+1)),"z"," ")&amp;IF(TRUNC(TEXT(A28,n0)),"","Ноль ")&amp;"рубл"&amp;VLOOKUP(MOD(MAX(MOD(MID(TEXT(A28,n0),11,2)-11,100),9),10),{0,"ь ";1,"я ";4,"ей "},2)&amp;RIGHT(TEXT(A28,n0),2)&amp;" копе"&amp;VLOOKUP(MOD(MAX(MOD(RIGHT(TEXT(A28,n0),2)-11,100),9),10),{0,"йка";1,"йки";4,"ек"},2)</f>
        <v>Шестьсот тридцать восемь миллионов триста семь тысяч пятьсот восемьдесят шесть рублей 42 копейки</v>
      </c>
    </row>
    <row r="29" spans="1:16" x14ac:dyDescent="0.2">
      <c r="A29" s="233">
        <f ca="1">ROUND((RAND()*1000000000000),2)</f>
        <v>630286968902.12</v>
      </c>
      <c r="B29" s="230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n0x,MID(TEXT(A29,n0),11,1)+1,MID(TEXT(A29,n0),12,1)+1)),"z"," ")&amp;IF(TRUNC(TEXT(A29,n0)),"","Ноль ")&amp;"рубл"&amp;VLOOKUP(MOD(MAX(MOD(MID(TEXT(A29,n0),11,2)-11,100),9),10),{0,"ь ";1,"я ";4,"ей "},2)&amp;RIGHT(TEXT(A29,n0),2)&amp;" копе"&amp;VLOOKUP(MOD(MAX(MOD(RIGHT(TEXT(A29,n0),2)-11,100),9),10),{0,"йка";1,"йки";4,"ек"},2)</f>
        <v>Шестьсот тридцать миллиардов двести восемьдесят шесть миллионов девятьсот шестьдесят восемь тысяч девятьсот два рубля 12 копеек</v>
      </c>
    </row>
    <row r="30" spans="1:16" x14ac:dyDescent="0.2">
      <c r="A30" s="233"/>
      <c r="B30" s="232"/>
    </row>
    <row r="31" spans="1:16" x14ac:dyDescent="0.2">
      <c r="A31" s="235" t="s">
        <v>70</v>
      </c>
      <c r="B31" s="238" t="s">
        <v>71</v>
      </c>
    </row>
    <row r="32" spans="1:16" x14ac:dyDescent="0.2">
      <c r="A32" s="235" t="s">
        <v>72</v>
      </c>
      <c r="B32" s="239">
        <f>LEN(B31)</f>
        <v>986</v>
      </c>
    </row>
    <row r="33" spans="1:3" x14ac:dyDescent="0.2">
      <c r="A33" s="235" t="s">
        <v>73</v>
      </c>
      <c r="B33" s="240" t="s">
        <v>74</v>
      </c>
    </row>
    <row r="34" spans="1:3" x14ac:dyDescent="0.2">
      <c r="A34" s="235" t="s">
        <v>72</v>
      </c>
      <c r="B34" s="239">
        <f>LEN(B33)</f>
        <v>933</v>
      </c>
    </row>
    <row r="35" spans="1:3" x14ac:dyDescent="0.2">
      <c r="B35" s="239"/>
    </row>
    <row r="36" spans="1:3" x14ac:dyDescent="0.2">
      <c r="A36" s="235" t="s">
        <v>75</v>
      </c>
      <c r="B36" s="241" t="s">
        <v>76</v>
      </c>
      <c r="C36" s="241" t="s">
        <v>77</v>
      </c>
    </row>
    <row r="37" spans="1:3" x14ac:dyDescent="0.2">
      <c r="B37" s="241" t="s">
        <v>78</v>
      </c>
      <c r="C37" s="241" t="s">
        <v>79</v>
      </c>
    </row>
    <row r="38" spans="1:3" x14ac:dyDescent="0.2">
      <c r="B38" s="241" t="s">
        <v>80</v>
      </c>
      <c r="C38" s="241" t="s">
        <v>81</v>
      </c>
    </row>
    <row r="39" spans="1:3" x14ac:dyDescent="0.2">
      <c r="B39" s="241" t="s">
        <v>82</v>
      </c>
      <c r="C39" s="241" t="s">
        <v>83</v>
      </c>
    </row>
    <row r="40" spans="1:3" x14ac:dyDescent="0.2">
      <c r="B40" s="241" t="s">
        <v>84</v>
      </c>
      <c r="C40" s="241" t="s">
        <v>85</v>
      </c>
    </row>
    <row r="41" spans="1:3" x14ac:dyDescent="0.2">
      <c r="B41" s="241" t="s">
        <v>86</v>
      </c>
      <c r="C41" s="241" t="s">
        <v>87</v>
      </c>
    </row>
    <row r="42" spans="1:3" x14ac:dyDescent="0.2">
      <c r="B42" s="241" t="s">
        <v>88</v>
      </c>
      <c r="C42" s="241" t="s">
        <v>89</v>
      </c>
    </row>
    <row r="43" spans="1:3" x14ac:dyDescent="0.2">
      <c r="B43" s="241" t="s">
        <v>90</v>
      </c>
      <c r="C43" s="241" t="s">
        <v>91</v>
      </c>
    </row>
    <row r="44" spans="1:3" x14ac:dyDescent="0.2">
      <c r="B44" s="241" t="s">
        <v>92</v>
      </c>
      <c r="C44" s="241" t="s">
        <v>93</v>
      </c>
    </row>
    <row r="45" spans="1:3" x14ac:dyDescent="0.2">
      <c r="B45" s="241" t="s">
        <v>94</v>
      </c>
      <c r="C45" s="241" t="s">
        <v>95</v>
      </c>
    </row>
    <row r="46" spans="1:3" x14ac:dyDescent="0.2">
      <c r="C46" s="236"/>
    </row>
    <row r="48" spans="1:3" x14ac:dyDescent="0.2">
      <c r="C48" s="236"/>
    </row>
    <row r="49" spans="2:8" x14ac:dyDescent="0.2">
      <c r="C49" s="236"/>
    </row>
    <row r="50" spans="2:8" x14ac:dyDescent="0.2">
      <c r="C50" s="236"/>
    </row>
    <row r="52" spans="2:8" x14ac:dyDescent="0.2">
      <c r="B52" s="230"/>
    </row>
    <row r="53" spans="2:8" x14ac:dyDescent="0.2">
      <c r="B53" s="238"/>
      <c r="H53" s="230"/>
    </row>
    <row r="54" spans="2:8" x14ac:dyDescent="0.2">
      <c r="D54" s="23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70C0"/>
  </sheetPr>
  <dimension ref="A1:P68"/>
  <sheetViews>
    <sheetView topLeftCell="A37" workbookViewId="0">
      <selection activeCell="C56" sqref="C56"/>
    </sheetView>
  </sheetViews>
  <sheetFormatPr defaultRowHeight="12.75" x14ac:dyDescent="0.2"/>
  <cols>
    <col min="1" max="1" width="35.42578125" style="234" customWidth="1"/>
    <col min="2" max="2" width="9.7109375" style="234" bestFit="1" customWidth="1"/>
    <col min="3" max="256" width="9.140625" style="234"/>
    <col min="257" max="257" width="35.42578125" style="234" customWidth="1"/>
    <col min="258" max="258" width="9.7109375" style="234" bestFit="1" customWidth="1"/>
    <col min="259" max="512" width="9.140625" style="234"/>
    <col min="513" max="513" width="35.42578125" style="234" customWidth="1"/>
    <col min="514" max="514" width="9.7109375" style="234" bestFit="1" customWidth="1"/>
    <col min="515" max="768" width="9.140625" style="234"/>
    <col min="769" max="769" width="35.42578125" style="234" customWidth="1"/>
    <col min="770" max="770" width="9.7109375" style="234" bestFit="1" customWidth="1"/>
    <col min="771" max="1024" width="9.140625" style="234"/>
    <col min="1025" max="1025" width="35.42578125" style="234" customWidth="1"/>
    <col min="1026" max="1026" width="9.7109375" style="234" bestFit="1" customWidth="1"/>
    <col min="1027" max="1280" width="9.140625" style="234"/>
    <col min="1281" max="1281" width="35.42578125" style="234" customWidth="1"/>
    <col min="1282" max="1282" width="9.7109375" style="234" bestFit="1" customWidth="1"/>
    <col min="1283" max="1536" width="9.140625" style="234"/>
    <col min="1537" max="1537" width="35.42578125" style="234" customWidth="1"/>
    <col min="1538" max="1538" width="9.7109375" style="234" bestFit="1" customWidth="1"/>
    <col min="1539" max="1792" width="9.140625" style="234"/>
    <col min="1793" max="1793" width="35.42578125" style="234" customWidth="1"/>
    <col min="1794" max="1794" width="9.7109375" style="234" bestFit="1" customWidth="1"/>
    <col min="1795" max="2048" width="9.140625" style="234"/>
    <col min="2049" max="2049" width="35.42578125" style="234" customWidth="1"/>
    <col min="2050" max="2050" width="9.7109375" style="234" bestFit="1" customWidth="1"/>
    <col min="2051" max="2304" width="9.140625" style="234"/>
    <col min="2305" max="2305" width="35.42578125" style="234" customWidth="1"/>
    <col min="2306" max="2306" width="9.7109375" style="234" bestFit="1" customWidth="1"/>
    <col min="2307" max="2560" width="9.140625" style="234"/>
    <col min="2561" max="2561" width="35.42578125" style="234" customWidth="1"/>
    <col min="2562" max="2562" width="9.7109375" style="234" bestFit="1" customWidth="1"/>
    <col min="2563" max="2816" width="9.140625" style="234"/>
    <col min="2817" max="2817" width="35.42578125" style="234" customWidth="1"/>
    <col min="2818" max="2818" width="9.7109375" style="234" bestFit="1" customWidth="1"/>
    <col min="2819" max="3072" width="9.140625" style="234"/>
    <col min="3073" max="3073" width="35.42578125" style="234" customWidth="1"/>
    <col min="3074" max="3074" width="9.7109375" style="234" bestFit="1" customWidth="1"/>
    <col min="3075" max="3328" width="9.140625" style="234"/>
    <col min="3329" max="3329" width="35.42578125" style="234" customWidth="1"/>
    <col min="3330" max="3330" width="9.7109375" style="234" bestFit="1" customWidth="1"/>
    <col min="3331" max="3584" width="9.140625" style="234"/>
    <col min="3585" max="3585" width="35.42578125" style="234" customWidth="1"/>
    <col min="3586" max="3586" width="9.7109375" style="234" bestFit="1" customWidth="1"/>
    <col min="3587" max="3840" width="9.140625" style="234"/>
    <col min="3841" max="3841" width="35.42578125" style="234" customWidth="1"/>
    <col min="3842" max="3842" width="9.7109375" style="234" bestFit="1" customWidth="1"/>
    <col min="3843" max="4096" width="9.140625" style="234"/>
    <col min="4097" max="4097" width="35.42578125" style="234" customWidth="1"/>
    <col min="4098" max="4098" width="9.7109375" style="234" bestFit="1" customWidth="1"/>
    <col min="4099" max="4352" width="9.140625" style="234"/>
    <col min="4353" max="4353" width="35.42578125" style="234" customWidth="1"/>
    <col min="4354" max="4354" width="9.7109375" style="234" bestFit="1" customWidth="1"/>
    <col min="4355" max="4608" width="9.140625" style="234"/>
    <col min="4609" max="4609" width="35.42578125" style="234" customWidth="1"/>
    <col min="4610" max="4610" width="9.7109375" style="234" bestFit="1" customWidth="1"/>
    <col min="4611" max="4864" width="9.140625" style="234"/>
    <col min="4865" max="4865" width="35.42578125" style="234" customWidth="1"/>
    <col min="4866" max="4866" width="9.7109375" style="234" bestFit="1" customWidth="1"/>
    <col min="4867" max="5120" width="9.140625" style="234"/>
    <col min="5121" max="5121" width="35.42578125" style="234" customWidth="1"/>
    <col min="5122" max="5122" width="9.7109375" style="234" bestFit="1" customWidth="1"/>
    <col min="5123" max="5376" width="9.140625" style="234"/>
    <col min="5377" max="5377" width="35.42578125" style="234" customWidth="1"/>
    <col min="5378" max="5378" width="9.7109375" style="234" bestFit="1" customWidth="1"/>
    <col min="5379" max="5632" width="9.140625" style="234"/>
    <col min="5633" max="5633" width="35.42578125" style="234" customWidth="1"/>
    <col min="5634" max="5634" width="9.7109375" style="234" bestFit="1" customWidth="1"/>
    <col min="5635" max="5888" width="9.140625" style="234"/>
    <col min="5889" max="5889" width="35.42578125" style="234" customWidth="1"/>
    <col min="5890" max="5890" width="9.7109375" style="234" bestFit="1" customWidth="1"/>
    <col min="5891" max="6144" width="9.140625" style="234"/>
    <col min="6145" max="6145" width="35.42578125" style="234" customWidth="1"/>
    <col min="6146" max="6146" width="9.7109375" style="234" bestFit="1" customWidth="1"/>
    <col min="6147" max="6400" width="9.140625" style="234"/>
    <col min="6401" max="6401" width="35.42578125" style="234" customWidth="1"/>
    <col min="6402" max="6402" width="9.7109375" style="234" bestFit="1" customWidth="1"/>
    <col min="6403" max="6656" width="9.140625" style="234"/>
    <col min="6657" max="6657" width="35.42578125" style="234" customWidth="1"/>
    <col min="6658" max="6658" width="9.7109375" style="234" bestFit="1" customWidth="1"/>
    <col min="6659" max="6912" width="9.140625" style="234"/>
    <col min="6913" max="6913" width="35.42578125" style="234" customWidth="1"/>
    <col min="6914" max="6914" width="9.7109375" style="234" bestFit="1" customWidth="1"/>
    <col min="6915" max="7168" width="9.140625" style="234"/>
    <col min="7169" max="7169" width="35.42578125" style="234" customWidth="1"/>
    <col min="7170" max="7170" width="9.7109375" style="234" bestFit="1" customWidth="1"/>
    <col min="7171" max="7424" width="9.140625" style="234"/>
    <col min="7425" max="7425" width="35.42578125" style="234" customWidth="1"/>
    <col min="7426" max="7426" width="9.7109375" style="234" bestFit="1" customWidth="1"/>
    <col min="7427" max="7680" width="9.140625" style="234"/>
    <col min="7681" max="7681" width="35.42578125" style="234" customWidth="1"/>
    <col min="7682" max="7682" width="9.7109375" style="234" bestFit="1" customWidth="1"/>
    <col min="7683" max="7936" width="9.140625" style="234"/>
    <col min="7937" max="7937" width="35.42578125" style="234" customWidth="1"/>
    <col min="7938" max="7938" width="9.7109375" style="234" bestFit="1" customWidth="1"/>
    <col min="7939" max="8192" width="9.140625" style="234"/>
    <col min="8193" max="8193" width="35.42578125" style="234" customWidth="1"/>
    <col min="8194" max="8194" width="9.7109375" style="234" bestFit="1" customWidth="1"/>
    <col min="8195" max="8448" width="9.140625" style="234"/>
    <col min="8449" max="8449" width="35.42578125" style="234" customWidth="1"/>
    <col min="8450" max="8450" width="9.7109375" style="234" bestFit="1" customWidth="1"/>
    <col min="8451" max="8704" width="9.140625" style="234"/>
    <col min="8705" max="8705" width="35.42578125" style="234" customWidth="1"/>
    <col min="8706" max="8706" width="9.7109375" style="234" bestFit="1" customWidth="1"/>
    <col min="8707" max="8960" width="9.140625" style="234"/>
    <col min="8961" max="8961" width="35.42578125" style="234" customWidth="1"/>
    <col min="8962" max="8962" width="9.7109375" style="234" bestFit="1" customWidth="1"/>
    <col min="8963" max="9216" width="9.140625" style="234"/>
    <col min="9217" max="9217" width="35.42578125" style="234" customWidth="1"/>
    <col min="9218" max="9218" width="9.7109375" style="234" bestFit="1" customWidth="1"/>
    <col min="9219" max="9472" width="9.140625" style="234"/>
    <col min="9473" max="9473" width="35.42578125" style="234" customWidth="1"/>
    <col min="9474" max="9474" width="9.7109375" style="234" bestFit="1" customWidth="1"/>
    <col min="9475" max="9728" width="9.140625" style="234"/>
    <col min="9729" max="9729" width="35.42578125" style="234" customWidth="1"/>
    <col min="9730" max="9730" width="9.7109375" style="234" bestFit="1" customWidth="1"/>
    <col min="9731" max="9984" width="9.140625" style="234"/>
    <col min="9985" max="9985" width="35.42578125" style="234" customWidth="1"/>
    <col min="9986" max="9986" width="9.7109375" style="234" bestFit="1" customWidth="1"/>
    <col min="9987" max="10240" width="9.140625" style="234"/>
    <col min="10241" max="10241" width="35.42578125" style="234" customWidth="1"/>
    <col min="10242" max="10242" width="9.7109375" style="234" bestFit="1" customWidth="1"/>
    <col min="10243" max="10496" width="9.140625" style="234"/>
    <col min="10497" max="10497" width="35.42578125" style="234" customWidth="1"/>
    <col min="10498" max="10498" width="9.7109375" style="234" bestFit="1" customWidth="1"/>
    <col min="10499" max="10752" width="9.140625" style="234"/>
    <col min="10753" max="10753" width="35.42578125" style="234" customWidth="1"/>
    <col min="10754" max="10754" width="9.7109375" style="234" bestFit="1" customWidth="1"/>
    <col min="10755" max="11008" width="9.140625" style="234"/>
    <col min="11009" max="11009" width="35.42578125" style="234" customWidth="1"/>
    <col min="11010" max="11010" width="9.7109375" style="234" bestFit="1" customWidth="1"/>
    <col min="11011" max="11264" width="9.140625" style="234"/>
    <col min="11265" max="11265" width="35.42578125" style="234" customWidth="1"/>
    <col min="11266" max="11266" width="9.7109375" style="234" bestFit="1" customWidth="1"/>
    <col min="11267" max="11520" width="9.140625" style="234"/>
    <col min="11521" max="11521" width="35.42578125" style="234" customWidth="1"/>
    <col min="11522" max="11522" width="9.7109375" style="234" bestFit="1" customWidth="1"/>
    <col min="11523" max="11776" width="9.140625" style="234"/>
    <col min="11777" max="11777" width="35.42578125" style="234" customWidth="1"/>
    <col min="11778" max="11778" width="9.7109375" style="234" bestFit="1" customWidth="1"/>
    <col min="11779" max="12032" width="9.140625" style="234"/>
    <col min="12033" max="12033" width="35.42578125" style="234" customWidth="1"/>
    <col min="12034" max="12034" width="9.7109375" style="234" bestFit="1" customWidth="1"/>
    <col min="12035" max="12288" width="9.140625" style="234"/>
    <col min="12289" max="12289" width="35.42578125" style="234" customWidth="1"/>
    <col min="12290" max="12290" width="9.7109375" style="234" bestFit="1" customWidth="1"/>
    <col min="12291" max="12544" width="9.140625" style="234"/>
    <col min="12545" max="12545" width="35.42578125" style="234" customWidth="1"/>
    <col min="12546" max="12546" width="9.7109375" style="234" bestFit="1" customWidth="1"/>
    <col min="12547" max="12800" width="9.140625" style="234"/>
    <col min="12801" max="12801" width="35.42578125" style="234" customWidth="1"/>
    <col min="12802" max="12802" width="9.7109375" style="234" bestFit="1" customWidth="1"/>
    <col min="12803" max="13056" width="9.140625" style="234"/>
    <col min="13057" max="13057" width="35.42578125" style="234" customWidth="1"/>
    <col min="13058" max="13058" width="9.7109375" style="234" bestFit="1" customWidth="1"/>
    <col min="13059" max="13312" width="9.140625" style="234"/>
    <col min="13313" max="13313" width="35.42578125" style="234" customWidth="1"/>
    <col min="13314" max="13314" width="9.7109375" style="234" bestFit="1" customWidth="1"/>
    <col min="13315" max="13568" width="9.140625" style="234"/>
    <col min="13569" max="13569" width="35.42578125" style="234" customWidth="1"/>
    <col min="13570" max="13570" width="9.7109375" style="234" bestFit="1" customWidth="1"/>
    <col min="13571" max="13824" width="9.140625" style="234"/>
    <col min="13825" max="13825" width="35.42578125" style="234" customWidth="1"/>
    <col min="13826" max="13826" width="9.7109375" style="234" bestFit="1" customWidth="1"/>
    <col min="13827" max="14080" width="9.140625" style="234"/>
    <col min="14081" max="14081" width="35.42578125" style="234" customWidth="1"/>
    <col min="14082" max="14082" width="9.7109375" style="234" bestFit="1" customWidth="1"/>
    <col min="14083" max="14336" width="9.140625" style="234"/>
    <col min="14337" max="14337" width="35.42578125" style="234" customWidth="1"/>
    <col min="14338" max="14338" width="9.7109375" style="234" bestFit="1" customWidth="1"/>
    <col min="14339" max="14592" width="9.140625" style="234"/>
    <col min="14593" max="14593" width="35.42578125" style="234" customWidth="1"/>
    <col min="14594" max="14594" width="9.7109375" style="234" bestFit="1" customWidth="1"/>
    <col min="14595" max="14848" width="9.140625" style="234"/>
    <col min="14849" max="14849" width="35.42578125" style="234" customWidth="1"/>
    <col min="14850" max="14850" width="9.7109375" style="234" bestFit="1" customWidth="1"/>
    <col min="14851" max="15104" width="9.140625" style="234"/>
    <col min="15105" max="15105" width="35.42578125" style="234" customWidth="1"/>
    <col min="15106" max="15106" width="9.7109375" style="234" bestFit="1" customWidth="1"/>
    <col min="15107" max="15360" width="9.140625" style="234"/>
    <col min="15361" max="15361" width="35.42578125" style="234" customWidth="1"/>
    <col min="15362" max="15362" width="9.7109375" style="234" bestFit="1" customWidth="1"/>
    <col min="15363" max="15616" width="9.140625" style="234"/>
    <col min="15617" max="15617" width="35.42578125" style="234" customWidth="1"/>
    <col min="15618" max="15618" width="9.7109375" style="234" bestFit="1" customWidth="1"/>
    <col min="15619" max="15872" width="9.140625" style="234"/>
    <col min="15873" max="15873" width="35.42578125" style="234" customWidth="1"/>
    <col min="15874" max="15874" width="9.7109375" style="234" bestFit="1" customWidth="1"/>
    <col min="15875" max="16128" width="9.140625" style="234"/>
    <col min="16129" max="16129" width="35.42578125" style="234" customWidth="1"/>
    <col min="16130" max="16130" width="9.7109375" style="234" bestFit="1" customWidth="1"/>
    <col min="16131" max="16384" width="9.140625" style="234"/>
  </cols>
  <sheetData>
    <row r="1" spans="1:16" s="229" customFormat="1" ht="18" x14ac:dyDescent="0.25">
      <c r="A1" s="229" t="s">
        <v>108</v>
      </c>
      <c r="B1" s="230"/>
    </row>
    <row r="2" spans="1:16" s="231" customFormat="1" x14ac:dyDescent="0.2">
      <c r="B2" s="232"/>
    </row>
    <row r="3" spans="1:16" x14ac:dyDescent="0.2">
      <c r="A3" s="248">
        <v>999999999999.99902</v>
      </c>
      <c r="B3" s="230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IF(-MID(TEXT(A3,n0),14,6),n1x,n0x),MID(TEXT(A3,n0),11,1)+1,MID(TEXT(A3,n0),12,1)+1)),"z"," ")&amp;IF(TRUNC(TEXT(A3,n0)),,"Ноль ")&amp;IF(-MID(TEXT(A3,n0),14,6),IF(MOD(MAX(MOD(MID(TEXT(A3,n0),11,2)-11,100),9),10),"целых ","целая ")&amp;SUBSTITUTE(INDEX(n_4,MID(TEXT(A3,n0),14,6)/10^5+1)&amp;INDEX(n1x,MOD(MID(TEXT(A3,n0),14,6)/10^4,10)+1,MOD(MID(TEXT(A3,n0),14,6)/1000,10)+1)&amp;IF(INT(MID(TEXT(A3,n0),14,6)/1000),VLOOKUP(MOD(MID(TEXT(A3,n0),14,6)/1000,10)*(MOD(INT(MID(TEXT(A3,n0),14,6)/10^4),10)&lt;&gt;1),тыс,2),"")&amp;INDEX(n_4,MOD(MID(TEXT(A3,n0),14,6)/100,10)+1)&amp;INDEX(n1x,MOD(MID(TEXT(A3,n0),14,6)/10,10)+1,MOD(MID(TEXT(A3,n0),14,6),10)+1),"z"," ")&amp;INDEX(доля,LEN(MID(TEXT(A3,n0),14,6)),(MOD(MAX(MOD(MID(TEXT(A3,n0),14,6)-11,100),9),10)&gt;0)+1),)</f>
        <v>Девятьсот девяносто девять миллиардов девятьсот девяносто девять миллионов девятьсот девяносто девять тысяч девятьсот девяносто девять целых девятьсот девяносто девять тысячных</v>
      </c>
    </row>
    <row r="4" spans="1:16" s="235" customFormat="1" x14ac:dyDescent="0.2">
      <c r="A4" s="235" t="s">
        <v>68</v>
      </c>
      <c r="F4" s="234"/>
      <c r="G4" s="234"/>
    </row>
    <row r="5" spans="1:16" x14ac:dyDescent="0.2">
      <c r="A5" s="248">
        <v>0.2</v>
      </c>
      <c r="B5" s="230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IF(-MID(TEXT(A5,n0),14,6),n1x,n0x),MID(TEXT(A5,n0),11,1)+1,MID(TEXT(A5,n0),12,1)+1)),"z"," ")&amp;IF(TRUNC(TEXT(A5,n0)),,"Ноль ")&amp;IF(-MID(TEXT(A5,n0),14,6),IF(MOD(MAX(MOD(MID(TEXT(A5,n0),11,2)-11,100),9),10),"целых ","целая ")&amp;SUBSTITUTE(INDEX(n_4,MID(TEXT(A5,n0),14,6)/10^5+1)&amp;INDEX(n1x,MOD(MID(TEXT(A5,n0),14,6)/10^4,10)+1,MOD(MID(TEXT(A5,n0),14,6)/1000,10)+1)&amp;IF(INT(MID(TEXT(A5,n0),14,6)/1000),VLOOKUP(MOD(MID(TEXT(A5,n0),14,6)/1000,10)*(MOD(INT(MID(TEXT(A5,n0),14,6)/10^4),10)&lt;&gt;1),тыс,2),"")&amp;INDEX(n_4,MOD(MID(TEXT(A5,n0),14,6)/100,10)+1)&amp;INDEX(n1x,MOD(MID(TEXT(A5,n0),14,6)/10,10)+1,MOD(MID(TEXT(A5,n0),14,6),10)+1),"z"," ")&amp;INDEX(доля,LEN(MID(TEXT(A5,n0),14,6)),(MOD(MAX(MOD(MID(TEXT(A5,n0),14,6)-11,100),9),10)&gt;0)+1),)</f>
        <v>Ноль целых две десятых</v>
      </c>
      <c r="P5" s="230"/>
    </row>
    <row r="6" spans="1:16" x14ac:dyDescent="0.2">
      <c r="A6" s="248">
        <v>1</v>
      </c>
      <c r="B6" s="230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IF(-MID(TEXT(A6,n0),14,6),n1x,n0x),MID(TEXT(A6,n0),11,1)+1,MID(TEXT(A6,n0),12,1)+1)),"z"," ")&amp;IF(TRUNC(TEXT(A6,n0)),,"Ноль ")&amp;IF(-MID(TEXT(A6,n0),14,6),IF(MOD(MAX(MOD(MID(TEXT(A6,n0),11,2)-11,100),9),10),"целых ","целая ")&amp;SUBSTITUTE(INDEX(n_4,MID(TEXT(A6,n0),14,6)/10^5+1)&amp;INDEX(n1x,MOD(MID(TEXT(A6,n0),14,6)/10^4,10)+1,MOD(MID(TEXT(A6,n0),14,6)/1000,10)+1)&amp;IF(INT(MID(TEXT(A6,n0),14,6)/1000),VLOOKUP(MOD(MID(TEXT(A6,n0),14,6)/1000,10)*(MOD(INT(MID(TEXT(A6,n0),14,6)/10^4),10)&lt;&gt;1),тыс,2),"")&amp;INDEX(n_4,MOD(MID(TEXT(A6,n0),14,6)/100,10)+1)&amp;INDEX(n1x,MOD(MID(TEXT(A6,n0),14,6)/10,10)+1,MOD(MID(TEXT(A6,n0),14,6),10)+1),"z"," ")&amp;INDEX(доля,LEN(MID(TEXT(A6,n0),14,6)),(MOD(MAX(MOD(MID(TEXT(A6,n0),14,6)-11,100),9),10)&gt;0)+1),)</f>
        <v xml:space="preserve">Один </v>
      </c>
      <c r="P6" s="230"/>
    </row>
    <row r="7" spans="1:16" x14ac:dyDescent="0.2">
      <c r="A7" s="248">
        <v>2.0099999999999998</v>
      </c>
      <c r="B7" s="230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IF(-MID(TEXT(A7,n0),14,6),n1x,n0x),MID(TEXT(A7,n0),11,1)+1,MID(TEXT(A7,n0),12,1)+1)),"z"," ")&amp;IF(TRUNC(TEXT(A7,n0)),,"Ноль ")&amp;IF(-MID(TEXT(A7,n0),14,6),IF(MOD(MAX(MOD(MID(TEXT(A7,n0),11,2)-11,100),9),10),"целых ","целая ")&amp;SUBSTITUTE(INDEX(n_4,MID(TEXT(A7,n0),14,6)/10^5+1)&amp;INDEX(n1x,MOD(MID(TEXT(A7,n0),14,6)/10^4,10)+1,MOD(MID(TEXT(A7,n0),14,6)/1000,10)+1)&amp;IF(INT(MID(TEXT(A7,n0),14,6)/1000),VLOOKUP(MOD(MID(TEXT(A7,n0),14,6)/1000,10)*(MOD(INT(MID(TEXT(A7,n0),14,6)/10^4),10)&lt;&gt;1),тыс,2),"")&amp;INDEX(n_4,MOD(MID(TEXT(A7,n0),14,6)/100,10)+1)&amp;INDEX(n1x,MOD(MID(TEXT(A7,n0),14,6)/10,10)+1,MOD(MID(TEXT(A7,n0),14,6),10)+1),"z"," ")&amp;INDEX(доля,LEN(MID(TEXT(A7,n0),14,6)),(MOD(MAX(MOD(MID(TEXT(A7,n0),14,6)-11,100),9),10)&gt;0)+1),)</f>
        <v>Две целых одна сотая</v>
      </c>
      <c r="P7" s="230"/>
    </row>
    <row r="8" spans="1:16" x14ac:dyDescent="0.2">
      <c r="A8" s="248">
        <v>4.9909999999999997</v>
      </c>
      <c r="B8" s="230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IF(-MID(TEXT(A8,n0),14,6),n1x,n0x),MID(TEXT(A8,n0),11,1)+1,MID(TEXT(A8,n0),12,1)+1)),"z"," ")&amp;IF(TRUNC(TEXT(A8,n0)),,"Ноль ")&amp;IF(-MID(TEXT(A8,n0),14,6),IF(MOD(MAX(MOD(MID(TEXT(A8,n0),11,2)-11,100),9),10),"целых ","целая ")&amp;SUBSTITUTE(INDEX(n_4,MID(TEXT(A8,n0),14,6)/10^5+1)&amp;INDEX(n1x,MOD(MID(TEXT(A8,n0),14,6)/10^4,10)+1,MOD(MID(TEXT(A8,n0),14,6)/1000,10)+1)&amp;IF(INT(MID(TEXT(A8,n0),14,6)/1000),VLOOKUP(MOD(MID(TEXT(A8,n0),14,6)/1000,10)*(MOD(INT(MID(TEXT(A8,n0),14,6)/10^4),10)&lt;&gt;1),тыс,2),"")&amp;INDEX(n_4,MOD(MID(TEXT(A8,n0),14,6)/100,10)+1)&amp;INDEX(n1x,MOD(MID(TEXT(A8,n0),14,6)/10,10)+1,MOD(MID(TEXT(A8,n0),14,6),10)+1),"z"," ")&amp;INDEX(доля,LEN(MID(TEXT(A8,n0),14,6)),(MOD(MAX(MOD(MID(TEXT(A8,n0),14,6)-11,100),9),10)&gt;0)+1),)</f>
        <v>Четыре целых девятьсот девяносто одна тысячная</v>
      </c>
      <c r="P8" s="230"/>
    </row>
    <row r="9" spans="1:16" x14ac:dyDescent="0.2">
      <c r="A9" s="248">
        <v>5.1123000000000003</v>
      </c>
      <c r="B9" s="230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IF(-MID(TEXT(A9,n0),14,6),n1x,n0x),MID(TEXT(A9,n0),11,1)+1,MID(TEXT(A9,n0),12,1)+1)),"z"," ")&amp;IF(TRUNC(TEXT(A9,n0)),,"Ноль ")&amp;IF(-MID(TEXT(A9,n0),14,6),IF(MOD(MAX(MOD(MID(TEXT(A9,n0),11,2)-11,100),9),10),"целых ","целая ")&amp;SUBSTITUTE(INDEX(n_4,MID(TEXT(A9,n0),14,6)/10^5+1)&amp;INDEX(n1x,MOD(MID(TEXT(A9,n0),14,6)/10^4,10)+1,MOD(MID(TEXT(A9,n0),14,6)/1000,10)+1)&amp;IF(INT(MID(TEXT(A9,n0),14,6)/1000),VLOOKUP(MOD(MID(TEXT(A9,n0),14,6)/1000,10)*(MOD(INT(MID(TEXT(A9,n0),14,6)/10^4),10)&lt;&gt;1),тыс,2),"")&amp;INDEX(n_4,MOD(MID(TEXT(A9,n0),14,6)/100,10)+1)&amp;INDEX(n1x,MOD(MID(TEXT(A9,n0),14,6)/10,10)+1,MOD(MID(TEXT(A9,n0),14,6),10)+1),"z"," ")&amp;INDEX(доля,LEN(MID(TEXT(A9,n0),14,6)),(MOD(MAX(MOD(MID(TEXT(A9,n0),14,6)-11,100),9),10)&gt;0)+1),)</f>
        <v>Пять целых одна тысяча сто двадцать три десятитысячных</v>
      </c>
      <c r="P9" s="230"/>
    </row>
    <row r="10" spans="1:16" x14ac:dyDescent="0.2">
      <c r="A10" s="248">
        <v>10.12345</v>
      </c>
      <c r="B10" s="230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IF(-MID(TEXT(A10,n0),14,6),n1x,n0x),MID(TEXT(A10,n0),11,1)+1,MID(TEXT(A10,n0),12,1)+1)),"z"," ")&amp;IF(TRUNC(TEXT(A10,n0)),,"Ноль ")&amp;IF(-MID(TEXT(A10,n0),14,6),IF(MOD(MAX(MOD(MID(TEXT(A10,n0),11,2)-11,100),9),10),"целых ","целая ")&amp;SUBSTITUTE(INDEX(n_4,MID(TEXT(A10,n0),14,6)/10^5+1)&amp;INDEX(n1x,MOD(MID(TEXT(A10,n0),14,6)/10^4,10)+1,MOD(MID(TEXT(A10,n0),14,6)/1000,10)+1)&amp;IF(INT(MID(TEXT(A10,n0),14,6)/1000),VLOOKUP(MOD(MID(TEXT(A10,n0),14,6)/1000,10)*(MOD(INT(MID(TEXT(A10,n0),14,6)/10^4),10)&lt;&gt;1),тыс,2),"")&amp;INDEX(n_4,MOD(MID(TEXT(A10,n0),14,6)/100,10)+1)&amp;INDEX(n1x,MOD(MID(TEXT(A10,n0),14,6)/10,10)+1,MOD(MID(TEXT(A10,n0),14,6),10)+1),"z"," ")&amp;INDEX(доля,LEN(MID(TEXT(A10,n0),14,6)),(MOD(MAX(MOD(MID(TEXT(A10,n0),14,6)-11,100),9),10)&gt;0)+1),)</f>
        <v>Десять целых двенадцать тысяч триста сорок пять стотысячных</v>
      </c>
      <c r="P10" s="230"/>
    </row>
    <row r="11" spans="1:16" x14ac:dyDescent="0.2">
      <c r="A11" s="248">
        <v>11.213450999999999</v>
      </c>
      <c r="B11" s="230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IF(-MID(TEXT(A11,n0),14,6),n1x,n0x),MID(TEXT(A11,n0),11,1)+1,MID(TEXT(A11,n0),12,1)+1)),"z"," ")&amp;IF(TRUNC(TEXT(A11,n0)),,"Ноль ")&amp;IF(-MID(TEXT(A11,n0),14,6),IF(MOD(MAX(MOD(MID(TEXT(A11,n0),11,2)-11,100),9),10),"целых ","целая ")&amp;SUBSTITUTE(INDEX(n_4,MID(TEXT(A11,n0),14,6)/10^5+1)&amp;INDEX(n1x,MOD(MID(TEXT(A11,n0),14,6)/10^4,10)+1,MOD(MID(TEXT(A11,n0),14,6)/1000,10)+1)&amp;IF(INT(MID(TEXT(A11,n0),14,6)/1000),VLOOKUP(MOD(MID(TEXT(A11,n0),14,6)/1000,10)*(MOD(INT(MID(TEXT(A11,n0),14,6)/10^4),10)&lt;&gt;1),тыс,2),"")&amp;INDEX(n_4,MOD(MID(TEXT(A11,n0),14,6)/100,10)+1)&amp;INDEX(n1x,MOD(MID(TEXT(A11,n0),14,6)/10,10)+1,MOD(MID(TEXT(A11,n0),14,6),10)+1),"z"," ")&amp;INDEX(доля,LEN(MID(TEXT(A11,n0),14,6)),(MOD(MAX(MOD(MID(TEXT(A11,n0),14,6)-11,100),9),10)&gt;0)+1),)</f>
        <v xml:space="preserve">Одиннадцать целых двести тринадцать тысяч четыреста пятьдесят одна миллионная </v>
      </c>
      <c r="P11" s="230"/>
    </row>
    <row r="12" spans="1:16" x14ac:dyDescent="0.2">
      <c r="A12" s="248">
        <v>12.43456789</v>
      </c>
      <c r="B12" s="230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IF(-MID(TEXT(A12,n0),14,6),n1x,n0x),MID(TEXT(A12,n0),11,1)+1,MID(TEXT(A12,n0),12,1)+1)),"z"," ")&amp;IF(TRUNC(TEXT(A12,n0)),,"Ноль ")&amp;IF(-MID(TEXT(A12,n0),14,6),IF(MOD(MAX(MOD(MID(TEXT(A12,n0),11,2)-11,100),9),10),"целых ","целая ")&amp;SUBSTITUTE(INDEX(n_4,MID(TEXT(A12,n0),14,6)/10^5+1)&amp;INDEX(n1x,MOD(MID(TEXT(A12,n0),14,6)/10^4,10)+1,MOD(MID(TEXT(A12,n0),14,6)/1000,10)+1)&amp;IF(INT(MID(TEXT(A12,n0),14,6)/1000),VLOOKUP(MOD(MID(TEXT(A12,n0),14,6)/1000,10)*(MOD(INT(MID(TEXT(A12,n0),14,6)/10^4),10)&lt;&gt;1),тыс,2),"")&amp;INDEX(n_4,MOD(MID(TEXT(A12,n0),14,6)/100,10)+1)&amp;INDEX(n1x,MOD(MID(TEXT(A12,n0),14,6)/10,10)+1,MOD(MID(TEXT(A12,n0),14,6),10)+1),"z"," ")&amp;INDEX(доля,LEN(MID(TEXT(A12,n0),14,6)),(MOD(MAX(MOD(MID(TEXT(A12,n0),14,6)-11,100),9),10)&gt;0)+1),)</f>
        <v>Двенадцать целых четыреста тридцать четыре тысячи пятьсот шестьдесят восемь миллионных</v>
      </c>
      <c r="P12" s="230"/>
    </row>
    <row r="13" spans="1:16" x14ac:dyDescent="0.2">
      <c r="A13" s="248">
        <v>1.2999999999</v>
      </c>
      <c r="B13" s="230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IF(-MID(TEXT(A13,n0),14,6),n1x,n0x),MID(TEXT(A13,n0),11,1)+1,MID(TEXT(A13,n0),12,1)+1)),"z"," ")&amp;IF(TRUNC(TEXT(A13,n0)),,"Ноль ")&amp;IF(-MID(TEXT(A13,n0),14,6),IF(MOD(MAX(MOD(MID(TEXT(A13,n0),11,2)-11,100),9),10),"целых ","целая ")&amp;SUBSTITUTE(INDEX(n_4,MID(TEXT(A13,n0),14,6)/10^5+1)&amp;INDEX(n1x,MOD(MID(TEXT(A13,n0),14,6)/10^4,10)+1,MOD(MID(TEXT(A13,n0),14,6)/1000,10)+1)&amp;IF(INT(MID(TEXT(A13,n0),14,6)/1000),VLOOKUP(MOD(MID(TEXT(A13,n0),14,6)/1000,10)*(MOD(INT(MID(TEXT(A13,n0),14,6)/10^4),10)&lt;&gt;1),тыс,2),"")&amp;INDEX(n_4,MOD(MID(TEXT(A13,n0),14,6)/100,10)+1)&amp;INDEX(n1x,MOD(MID(TEXT(A13,n0),14,6)/10,10)+1,MOD(MID(TEXT(A13,n0),14,6),10)+1),"z"," ")&amp;INDEX(доля,LEN(MID(TEXT(A13,n0),14,6)),(MOD(MAX(MOD(MID(TEXT(A13,n0),14,6)-11,100),9),10)&gt;0)+1),)</f>
        <v>Одна целая три десятых</v>
      </c>
      <c r="P13" s="230"/>
    </row>
    <row r="14" spans="1:16" x14ac:dyDescent="0.2">
      <c r="A14" s="248">
        <v>0.1234567891011</v>
      </c>
      <c r="B14" s="230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IF(-MID(TEXT(A14,n0),14,6),n1x,n0x),MID(TEXT(A14,n0),11,1)+1,MID(TEXT(A14,n0),12,1)+1)),"z"," ")&amp;IF(TRUNC(TEXT(A14,n0)),,"Ноль ")&amp;IF(-MID(TEXT(A14,n0),14,6),IF(MOD(MAX(MOD(MID(TEXT(A14,n0),11,2)-11,100),9),10),"целых ","целая ")&amp;SUBSTITUTE(INDEX(n_4,MID(TEXT(A14,n0),14,6)/10^5+1)&amp;INDEX(n1x,MOD(MID(TEXT(A14,n0),14,6)/10^4,10)+1,MOD(MID(TEXT(A14,n0),14,6)/1000,10)+1)&amp;IF(INT(MID(TEXT(A14,n0),14,6)/1000),VLOOKUP(MOD(MID(TEXT(A14,n0),14,6)/1000,10)*(MOD(INT(MID(TEXT(A14,n0),14,6)/10^4),10)&lt;&gt;1),тыс,2),"")&amp;INDEX(n_4,MOD(MID(TEXT(A14,n0),14,6)/100,10)+1)&amp;INDEX(n1x,MOD(MID(TEXT(A14,n0),14,6)/10,10)+1,MOD(MID(TEXT(A14,n0),14,6),10)+1),"z"," ")&amp;INDEX(доля,LEN(MID(TEXT(A14,n0),14,6)),(MOD(MAX(MOD(MID(TEXT(A14,n0),14,6)-11,100),9),10)&gt;0)+1),)</f>
        <v>Ноль целых сто двадцать три тысячи четыреста пятьдесят семь миллионных</v>
      </c>
      <c r="P14" s="230"/>
    </row>
    <row r="15" spans="1:16" x14ac:dyDescent="0.2">
      <c r="A15" s="248">
        <v>121</v>
      </c>
      <c r="B15" s="230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IF(-MID(TEXT(A15,n0),14,6),n1x,n0x),MID(TEXT(A15,n0),11,1)+1,MID(TEXT(A15,n0),12,1)+1)),"z"," ")&amp;IF(TRUNC(TEXT(A15,n0)),,"Ноль ")&amp;IF(-MID(TEXT(A15,n0),14,6),IF(MOD(MAX(MOD(MID(TEXT(A15,n0),11,2)-11,100),9),10),"целых ","целая ")&amp;SUBSTITUTE(INDEX(n_4,MID(TEXT(A15,n0),14,6)/10^5+1)&amp;INDEX(n1x,MOD(MID(TEXT(A15,n0),14,6)/10^4,10)+1,MOD(MID(TEXT(A15,n0),14,6)/1000,10)+1)&amp;IF(INT(MID(TEXT(A15,n0),14,6)/1000),VLOOKUP(MOD(MID(TEXT(A15,n0),14,6)/1000,10)*(MOD(INT(MID(TEXT(A15,n0),14,6)/10^4),10)&lt;&gt;1),тыс,2),"")&amp;INDEX(n_4,MOD(MID(TEXT(A15,n0),14,6)/100,10)+1)&amp;INDEX(n1x,MOD(MID(TEXT(A15,n0),14,6)/10,10)+1,MOD(MID(TEXT(A15,n0),14,6),10)+1),"z"," ")&amp;INDEX(доля,LEN(MID(TEXT(A15,n0),14,6)),(MOD(MAX(MOD(MID(TEXT(A15,n0),14,6)-11,100),9),10)&gt;0)+1),)</f>
        <v xml:space="preserve">Сто двадцать один </v>
      </c>
      <c r="P15" s="230"/>
    </row>
    <row r="16" spans="1:16" x14ac:dyDescent="0.2">
      <c r="A16" s="248">
        <v>121.22</v>
      </c>
      <c r="B16" s="230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IF(-MID(TEXT(A16,n0),14,6),n1x,n0x),MID(TEXT(A16,n0),11,1)+1,MID(TEXT(A16,n0),12,1)+1)),"z"," ")&amp;IF(TRUNC(TEXT(A16,n0)),,"Ноль ")&amp;IF(-MID(TEXT(A16,n0),14,6),IF(MOD(MAX(MOD(MID(TEXT(A16,n0),11,2)-11,100),9),10),"целых ","целая ")&amp;SUBSTITUTE(INDEX(n_4,MID(TEXT(A16,n0),14,6)/10^5+1)&amp;INDEX(n1x,MOD(MID(TEXT(A16,n0),14,6)/10^4,10)+1,MOD(MID(TEXT(A16,n0),14,6)/1000,10)+1)&amp;IF(INT(MID(TEXT(A16,n0),14,6)/1000),VLOOKUP(MOD(MID(TEXT(A16,n0),14,6)/1000,10)*(MOD(INT(MID(TEXT(A16,n0),14,6)/10^4),10)&lt;&gt;1),тыс,2),"")&amp;INDEX(n_4,MOD(MID(TEXT(A16,n0),14,6)/100,10)+1)&amp;INDEX(n1x,MOD(MID(TEXT(A16,n0),14,6)/10,10)+1,MOD(MID(TEXT(A16,n0),14,6),10)+1),"z"," ")&amp;INDEX(доля,LEN(MID(TEXT(A16,n0),14,6)),(MOD(MAX(MOD(MID(TEXT(A16,n0),14,6)-11,100),9),10)&gt;0)+1),)</f>
        <v>Сто двадцать одна целая двадцать две сотых</v>
      </c>
      <c r="P16" s="230"/>
    </row>
    <row r="17" spans="1:16" x14ac:dyDescent="0.2">
      <c r="A17" s="248">
        <v>1000.16</v>
      </c>
      <c r="B17" s="230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IF(-MID(TEXT(A17,n0),14,6),n1x,n0x),MID(TEXT(A17,n0),11,1)+1,MID(TEXT(A17,n0),12,1)+1)),"z"," ")&amp;IF(TRUNC(TEXT(A17,n0)),,"Ноль ")&amp;IF(-MID(TEXT(A17,n0),14,6),IF(MOD(MAX(MOD(MID(TEXT(A17,n0),11,2)-11,100),9),10),"целых ","целая ")&amp;SUBSTITUTE(INDEX(n_4,MID(TEXT(A17,n0),14,6)/10^5+1)&amp;INDEX(n1x,MOD(MID(TEXT(A17,n0),14,6)/10^4,10)+1,MOD(MID(TEXT(A17,n0),14,6)/1000,10)+1)&amp;IF(INT(MID(TEXT(A17,n0),14,6)/1000),VLOOKUP(MOD(MID(TEXT(A17,n0),14,6)/1000,10)*(MOD(INT(MID(TEXT(A17,n0),14,6)/10^4),10)&lt;&gt;1),тыс,2),"")&amp;INDEX(n_4,MOD(MID(TEXT(A17,n0),14,6)/100,10)+1)&amp;INDEX(n1x,MOD(MID(TEXT(A17,n0),14,6)/10,10)+1,MOD(MID(TEXT(A17,n0),14,6),10)+1),"z"," ")&amp;INDEX(доля,LEN(MID(TEXT(A17,n0),14,6)),(MOD(MAX(MOD(MID(TEXT(A17,n0),14,6)-11,100),9),10)&gt;0)+1),)</f>
        <v>Одна тысяча целых шестнадцать сотых</v>
      </c>
      <c r="P17" s="230"/>
    </row>
    <row r="18" spans="1:16" x14ac:dyDescent="0.2">
      <c r="A18" s="248">
        <v>1002.51</v>
      </c>
      <c r="B18" s="230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IF(-MID(TEXT(A18,n0),14,6),n1x,n0x),MID(TEXT(A18,n0),11,1)+1,MID(TEXT(A18,n0),12,1)+1)),"z"," ")&amp;IF(TRUNC(TEXT(A18,n0)),,"Ноль ")&amp;IF(-MID(TEXT(A18,n0),14,6),IF(MOD(MAX(MOD(MID(TEXT(A18,n0),11,2)-11,100),9),10),"целых ","целая ")&amp;SUBSTITUTE(INDEX(n_4,MID(TEXT(A18,n0),14,6)/10^5+1)&amp;INDEX(n1x,MOD(MID(TEXT(A18,n0),14,6)/10^4,10)+1,MOD(MID(TEXT(A18,n0),14,6)/1000,10)+1)&amp;IF(INT(MID(TEXT(A18,n0),14,6)/1000),VLOOKUP(MOD(MID(TEXT(A18,n0),14,6)/1000,10)*(MOD(INT(MID(TEXT(A18,n0),14,6)/10^4),10)&lt;&gt;1),тыс,2),"")&amp;INDEX(n_4,MOD(MID(TEXT(A18,n0),14,6)/100,10)+1)&amp;INDEX(n1x,MOD(MID(TEXT(A18,n0),14,6)/10,10)+1,MOD(MID(TEXT(A18,n0),14,6),10)+1),"z"," ")&amp;INDEX(доля,LEN(MID(TEXT(A18,n0),14,6)),(MOD(MAX(MOD(MID(TEXT(A18,n0),14,6)-11,100),9),10)&gt;0)+1),)</f>
        <v>Одна тысяча две целых пятьдесят одна сотая</v>
      </c>
      <c r="P18" s="230"/>
    </row>
    <row r="19" spans="1:16" x14ac:dyDescent="0.2">
      <c r="A19" s="248">
        <v>120101.1</v>
      </c>
      <c r="B19" s="230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IF(-MID(TEXT(A19,n0),14,6),n1x,n0x),MID(TEXT(A19,n0),11,1)+1,MID(TEXT(A19,n0),12,1)+1)),"z"," ")&amp;IF(TRUNC(TEXT(A19,n0)),,"Ноль ")&amp;IF(-MID(TEXT(A19,n0),14,6),IF(MOD(MAX(MOD(MID(TEXT(A19,n0),11,2)-11,100),9),10),"целых ","целая ")&amp;SUBSTITUTE(INDEX(n_4,MID(TEXT(A19,n0),14,6)/10^5+1)&amp;INDEX(n1x,MOD(MID(TEXT(A19,n0),14,6)/10^4,10)+1,MOD(MID(TEXT(A19,n0),14,6)/1000,10)+1)&amp;IF(INT(MID(TEXT(A19,n0),14,6)/1000),VLOOKUP(MOD(MID(TEXT(A19,n0),14,6)/1000,10)*(MOD(INT(MID(TEXT(A19,n0),14,6)/10^4),10)&lt;&gt;1),тыс,2),"")&amp;INDEX(n_4,MOD(MID(TEXT(A19,n0),14,6)/100,10)+1)&amp;INDEX(n1x,MOD(MID(TEXT(A19,n0),14,6)/10,10)+1,MOD(MID(TEXT(A19,n0),14,6),10)+1),"z"," ")&amp;INDEX(доля,LEN(MID(TEXT(A19,n0),14,6)),(MOD(MAX(MOD(MID(TEXT(A19,n0),14,6)-11,100),9),10)&gt;0)+1),)</f>
        <v>Сто двадцать тысяч сто одна целая одна десятая</v>
      </c>
      <c r="P19" s="230"/>
    </row>
    <row r="20" spans="1:16" x14ac:dyDescent="0.2">
      <c r="A20" s="248">
        <v>2000000</v>
      </c>
      <c r="B20" s="230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IF(-MID(TEXT(A20,n0),14,6),n1x,n0x),MID(TEXT(A20,n0),11,1)+1,MID(TEXT(A20,n0),12,1)+1)),"z"," ")&amp;IF(TRUNC(TEXT(A20,n0)),,"Ноль ")&amp;IF(-MID(TEXT(A20,n0),14,6),IF(MOD(MAX(MOD(MID(TEXT(A20,n0),11,2)-11,100),9),10),"целых ","целая ")&amp;SUBSTITUTE(INDEX(n_4,MID(TEXT(A20,n0),14,6)/10^5+1)&amp;INDEX(n1x,MOD(MID(TEXT(A20,n0),14,6)/10^4,10)+1,MOD(MID(TEXT(A20,n0),14,6)/1000,10)+1)&amp;IF(INT(MID(TEXT(A20,n0),14,6)/1000),VLOOKUP(MOD(MID(TEXT(A20,n0),14,6)/1000,10)*(MOD(INT(MID(TEXT(A20,n0),14,6)/10^4),10)&lt;&gt;1),тыс,2),"")&amp;INDEX(n_4,MOD(MID(TEXT(A20,n0),14,6)/100,10)+1)&amp;INDEX(n1x,MOD(MID(TEXT(A20,n0),14,6)/10,10)+1,MOD(MID(TEXT(A20,n0),14,6),10)+1),"z"," ")&amp;INDEX(доля,LEN(MID(TEXT(A20,n0),14,6)),(MOD(MAX(MOD(MID(TEXT(A20,n0),14,6)-11,100),9),10)&gt;0)+1),)</f>
        <v xml:space="preserve">Два миллиона </v>
      </c>
      <c r="P20" s="230"/>
    </row>
    <row r="21" spans="1:16" x14ac:dyDescent="0.2">
      <c r="A21" s="248">
        <v>11102345.23</v>
      </c>
      <c r="B21" s="230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IF(-MID(TEXT(A21,n0),14,6),n1x,n0x),MID(TEXT(A21,n0),11,1)+1,MID(TEXT(A21,n0),12,1)+1)),"z"," ")&amp;IF(TRUNC(TEXT(A21,n0)),,"Ноль ")&amp;IF(-MID(TEXT(A21,n0),14,6),IF(MOD(MAX(MOD(MID(TEXT(A21,n0),11,2)-11,100),9),10),"целых ","целая ")&amp;SUBSTITUTE(INDEX(n_4,MID(TEXT(A21,n0),14,6)/10^5+1)&amp;INDEX(n1x,MOD(MID(TEXT(A21,n0),14,6)/10^4,10)+1,MOD(MID(TEXT(A21,n0),14,6)/1000,10)+1)&amp;IF(INT(MID(TEXT(A21,n0),14,6)/1000),VLOOKUP(MOD(MID(TEXT(A21,n0),14,6)/1000,10)*(MOD(INT(MID(TEXT(A21,n0),14,6)/10^4),10)&lt;&gt;1),тыс,2),"")&amp;INDEX(n_4,MOD(MID(TEXT(A21,n0),14,6)/100,10)+1)&amp;INDEX(n1x,MOD(MID(TEXT(A21,n0),14,6)/10,10)+1,MOD(MID(TEXT(A21,n0),14,6),10)+1),"z"," ")&amp;INDEX(доля,LEN(MID(TEXT(A21,n0),14,6)),(MOD(MAX(MOD(MID(TEXT(A21,n0),14,6)-11,100),9),10)&gt;0)+1),)</f>
        <v>Одиннадцать миллионов сто две тысячи триста сорок пять целых двадцать три сотых</v>
      </c>
      <c r="P21" s="230"/>
    </row>
    <row r="22" spans="1:16" x14ac:dyDescent="0.2">
      <c r="A22" s="248">
        <v>123456789.321234</v>
      </c>
      <c r="B22" s="230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IF(-MID(TEXT(A22,n0),14,6),n1x,n0x),MID(TEXT(A22,n0),11,1)+1,MID(TEXT(A22,n0),12,1)+1)),"z"," ")&amp;IF(TRUNC(TEXT(A22,n0)),,"Ноль ")&amp;IF(-MID(TEXT(A22,n0),14,6),IF(MOD(MAX(MOD(MID(TEXT(A22,n0),11,2)-11,100),9),10),"целых ","целая ")&amp;SUBSTITUTE(INDEX(n_4,MID(TEXT(A22,n0),14,6)/10^5+1)&amp;INDEX(n1x,MOD(MID(TEXT(A22,n0),14,6)/10^4,10)+1,MOD(MID(TEXT(A22,n0),14,6)/1000,10)+1)&amp;IF(INT(MID(TEXT(A22,n0),14,6)/1000),VLOOKUP(MOD(MID(TEXT(A22,n0),14,6)/1000,10)*(MOD(INT(MID(TEXT(A22,n0),14,6)/10^4),10)&lt;&gt;1),тыс,2),"")&amp;INDEX(n_4,MOD(MID(TEXT(A22,n0),14,6)/100,10)+1)&amp;INDEX(n1x,MOD(MID(TEXT(A22,n0),14,6)/10,10)+1,MOD(MID(TEXT(A22,n0),14,6),10)+1),"z"," ")&amp;INDEX(доля,LEN(MID(TEXT(A22,n0),14,6)),(MOD(MAX(MOD(MID(TEXT(A22,n0),14,6)-11,100),9),10)&gt;0)+1),)</f>
        <v>Сто двадцать три миллиона четыреста пятьдесят шесть тысяч семьсот восемьдесят девять целых триста двадцать одна тысяча двести тридцать четыре миллионных</v>
      </c>
      <c r="P22" s="230"/>
    </row>
    <row r="23" spans="1:16" x14ac:dyDescent="0.2">
      <c r="A23" s="233"/>
      <c r="B23" s="230"/>
    </row>
    <row r="24" spans="1:16" s="235" customFormat="1" x14ac:dyDescent="0.2">
      <c r="A24" s="237" t="s">
        <v>69</v>
      </c>
    </row>
    <row r="25" spans="1:16" x14ac:dyDescent="0.2">
      <c r="A25" s="248">
        <f ca="1">ROUND((RAND()*1000000),RAND()*9)</f>
        <v>818054.8</v>
      </c>
      <c r="B25" s="230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IF(-MID(TEXT(A25,n0),14,6),n1x,n0x),MID(TEXT(A25,n0),11,1)+1,MID(TEXT(A25,n0),12,1)+1)),"z"," ")&amp;IF(TRUNC(TEXT(A25,n0)),,"Ноль ")&amp;IF(-MID(TEXT(A25,n0),14,6),IF(MOD(MAX(MOD(MID(TEXT(A25,n0),11,2)-11,100),9),10),"целых ","целая ")&amp;SUBSTITUTE(INDEX(n_4,MID(TEXT(A25,n0),14,6)/10^5+1)&amp;INDEX(n1x,MOD(MID(TEXT(A25,n0),14,6)/10^4,10)+1,MOD(MID(TEXT(A25,n0),14,6)/1000,10)+1)&amp;IF(INT(MID(TEXT(A25,n0),14,6)/1000),VLOOKUP(MOD(MID(TEXT(A25,n0),14,6)/1000,10)*(MOD(INT(MID(TEXT(A25,n0),14,6)/10^4),10)&lt;&gt;1),тыс,2),"")&amp;INDEX(n_4,MOD(MID(TEXT(A25,n0),14,6)/100,10)+1)&amp;INDEX(n1x,MOD(MID(TEXT(A25,n0),14,6)/10,10)+1,MOD(MID(TEXT(A25,n0),14,6),10)+1),"z"," ")&amp;INDEX(доля,LEN(MID(TEXT(A25,n0),14,6)),(MOD(MAX(MOD(MID(TEXT(A25,n0),14,6)-11,100),9),10)&gt;0)+1),)</f>
        <v>Восемьсот восемнадцать тысяч пятьдесят четыре целых восемь десятых</v>
      </c>
      <c r="P25" s="230"/>
    </row>
    <row r="26" spans="1:16" x14ac:dyDescent="0.2">
      <c r="A26" s="248">
        <f ca="1">ROUND((RAND()*1000000),RAND()*9)</f>
        <v>869191.28046000004</v>
      </c>
      <c r="B26" s="230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IF(-MID(TEXT(A26,n0),14,6),n1x,n0x),MID(TEXT(A26,n0),11,1)+1,MID(TEXT(A26,n0),12,1)+1)),"z"," ")&amp;IF(TRUNC(TEXT(A26,n0)),,"Ноль ")&amp;IF(-MID(TEXT(A26,n0),14,6),IF(MOD(MAX(MOD(MID(TEXT(A26,n0),11,2)-11,100),9),10),"целых ","целая ")&amp;SUBSTITUTE(INDEX(n_4,MID(TEXT(A26,n0),14,6)/10^5+1)&amp;INDEX(n1x,MOD(MID(TEXT(A26,n0),14,6)/10^4,10)+1,MOD(MID(TEXT(A26,n0),14,6)/1000,10)+1)&amp;IF(INT(MID(TEXT(A26,n0),14,6)/1000),VLOOKUP(MOD(MID(TEXT(A26,n0),14,6)/1000,10)*(MOD(INT(MID(TEXT(A26,n0),14,6)/10^4),10)&lt;&gt;1),тыс,2),"")&amp;INDEX(n_4,MOD(MID(TEXT(A26,n0),14,6)/100,10)+1)&amp;INDEX(n1x,MOD(MID(TEXT(A26,n0),14,6)/10,10)+1,MOD(MID(TEXT(A26,n0),14,6),10)+1),"z"," ")&amp;INDEX(доля,LEN(MID(TEXT(A26,n0),14,6)),(MOD(MAX(MOD(MID(TEXT(A26,n0),14,6)-11,100),9),10)&gt;0)+1),)</f>
        <v>Восемьсот шестьдесят девять тысяч сто девяносто одна целая двадцать восемь тысяч сорок шесть стотысячных</v>
      </c>
      <c r="P26" s="230"/>
    </row>
    <row r="27" spans="1:16" x14ac:dyDescent="0.2">
      <c r="A27" s="248">
        <f ca="1">ROUND((RAND()*1000000),RAND()*9)</f>
        <v>371765.09003419999</v>
      </c>
      <c r="B27" s="230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IF(-MID(TEXT(A27,n0),14,6),n1x,n0x),MID(TEXT(A27,n0),11,1)+1,MID(TEXT(A27,n0),12,1)+1)),"z"," ")&amp;IF(TRUNC(TEXT(A27,n0)),,"Ноль ")&amp;IF(-MID(TEXT(A27,n0),14,6),IF(MOD(MAX(MOD(MID(TEXT(A27,n0),11,2)-11,100),9),10),"целых ","целая ")&amp;SUBSTITUTE(INDEX(n_4,MID(TEXT(A27,n0),14,6)/10^5+1)&amp;INDEX(n1x,MOD(MID(TEXT(A27,n0),14,6)/10^4,10)+1,MOD(MID(TEXT(A27,n0),14,6)/1000,10)+1)&amp;IF(INT(MID(TEXT(A27,n0),14,6)/1000),VLOOKUP(MOD(MID(TEXT(A27,n0),14,6)/1000,10)*(MOD(INT(MID(TEXT(A27,n0),14,6)/10^4),10)&lt;&gt;1),тыс,2),"")&amp;INDEX(n_4,MOD(MID(TEXT(A27,n0),14,6)/100,10)+1)&amp;INDEX(n1x,MOD(MID(TEXT(A27,n0),14,6)/10,10)+1,MOD(MID(TEXT(A27,n0),14,6),10)+1),"z"," ")&amp;INDEX(доля,LEN(MID(TEXT(A27,n0),14,6)),(MOD(MAX(MOD(MID(TEXT(A27,n0),14,6)-11,100),9),10)&gt;0)+1),)</f>
        <v>Триста семьдесят одна тысяча семьсот шестьдесят пять целых девяносто тысяч тридцать четыре миллионных</v>
      </c>
      <c r="P27" s="230"/>
    </row>
    <row r="28" spans="1:16" x14ac:dyDescent="0.2">
      <c r="A28" s="248">
        <f ca="1">ROUND((RAND()*1000000),RAND()*9)</f>
        <v>324088.58313695999</v>
      </c>
      <c r="B28" s="230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IF(-MID(TEXT(A28,n0),14,6),n1x,n0x),MID(TEXT(A28,n0),11,1)+1,MID(TEXT(A28,n0),12,1)+1)),"z"," ")&amp;IF(TRUNC(TEXT(A28,n0)),,"Ноль ")&amp;IF(-MID(TEXT(A28,n0),14,6),IF(MOD(MAX(MOD(MID(TEXT(A28,n0),11,2)-11,100),9),10),"целых ","целая ")&amp;SUBSTITUTE(INDEX(n_4,MID(TEXT(A28,n0),14,6)/10^5+1)&amp;INDEX(n1x,MOD(MID(TEXT(A28,n0),14,6)/10^4,10)+1,MOD(MID(TEXT(A28,n0),14,6)/1000,10)+1)&amp;IF(INT(MID(TEXT(A28,n0),14,6)/1000),VLOOKUP(MOD(MID(TEXT(A28,n0),14,6)/1000,10)*(MOD(INT(MID(TEXT(A28,n0),14,6)/10^4),10)&lt;&gt;1),тыс,2),"")&amp;INDEX(n_4,MOD(MID(TEXT(A28,n0),14,6)/100,10)+1)&amp;INDEX(n1x,MOD(MID(TEXT(A28,n0),14,6)/10,10)+1,MOD(MID(TEXT(A28,n0),14,6),10)+1),"z"," ")&amp;INDEX(доля,LEN(MID(TEXT(A28,n0),14,6)),(MOD(MAX(MOD(MID(TEXT(A28,n0),14,6)-11,100),9),10)&gt;0)+1),)</f>
        <v>Триста двадцать четыре тысячи восемьдесят восемь целых пятьсот восемьдесят три тысячи сто тридцать семь миллионных</v>
      </c>
      <c r="P28" s="230"/>
    </row>
    <row r="29" spans="1:16" x14ac:dyDescent="0.2">
      <c r="A29" s="248">
        <f ca="1">ROUND((RAND()*1000000),RAND()*9)</f>
        <v>487036.02087499999</v>
      </c>
      <c r="B29" s="230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IF(-MID(TEXT(A29,n0),14,6),n1x,n0x),MID(TEXT(A29,n0),11,1)+1,MID(TEXT(A29,n0),12,1)+1)),"z"," ")&amp;IF(TRUNC(TEXT(A29,n0)),,"Ноль ")&amp;IF(-MID(TEXT(A29,n0),14,6),IF(MOD(MAX(MOD(MID(TEXT(A29,n0),11,2)-11,100),9),10),"целых ","целая ")&amp;SUBSTITUTE(INDEX(n_4,MID(TEXT(A29,n0),14,6)/10^5+1)&amp;INDEX(n1x,MOD(MID(TEXT(A29,n0),14,6)/10^4,10)+1,MOD(MID(TEXT(A29,n0),14,6)/1000,10)+1)&amp;IF(INT(MID(TEXT(A29,n0),14,6)/1000),VLOOKUP(MOD(MID(TEXT(A29,n0),14,6)/1000,10)*(MOD(INT(MID(TEXT(A29,n0),14,6)/10^4),10)&lt;&gt;1),тыс,2),"")&amp;INDEX(n_4,MOD(MID(TEXT(A29,n0),14,6)/100,10)+1)&amp;INDEX(n1x,MOD(MID(TEXT(A29,n0),14,6)/10,10)+1,MOD(MID(TEXT(A29,n0),14,6),10)+1),"z"," ")&amp;INDEX(доля,LEN(MID(TEXT(A29,n0),14,6)),(MOD(MAX(MOD(MID(TEXT(A29,n0),14,6)-11,100),9),10)&gt;0)+1),)</f>
        <v>Четыреста восемьдесят семь тысяч тридцать шесть целых двадцать тысяч восемьсот семьдесят пять миллионных</v>
      </c>
      <c r="P29" s="230"/>
    </row>
    <row r="30" spans="1:16" x14ac:dyDescent="0.2">
      <c r="A30" s="233"/>
      <c r="B30" s="232"/>
    </row>
    <row r="31" spans="1:16" x14ac:dyDescent="0.2">
      <c r="A31" s="235" t="s">
        <v>70</v>
      </c>
      <c r="B31" s="249" t="s">
        <v>109</v>
      </c>
    </row>
    <row r="32" spans="1:16" x14ac:dyDescent="0.2">
      <c r="A32" s="235" t="s">
        <v>72</v>
      </c>
      <c r="B32" s="239">
        <f>LEN(B31)</f>
        <v>1463</v>
      </c>
    </row>
    <row r="33" spans="1:3" x14ac:dyDescent="0.2">
      <c r="A33" s="235" t="s">
        <v>73</v>
      </c>
      <c r="B33" s="249" t="s">
        <v>110</v>
      </c>
    </row>
    <row r="34" spans="1:3" x14ac:dyDescent="0.2">
      <c r="A34" s="235" t="s">
        <v>72</v>
      </c>
      <c r="B34" s="239">
        <f>LEN(B33)</f>
        <v>1355</v>
      </c>
    </row>
    <row r="35" spans="1:3" x14ac:dyDescent="0.2">
      <c r="B35" s="239"/>
    </row>
    <row r="36" spans="1:3" x14ac:dyDescent="0.2">
      <c r="A36" s="235" t="s">
        <v>75</v>
      </c>
      <c r="B36" s="241" t="s">
        <v>76</v>
      </c>
      <c r="C36" s="241" t="s">
        <v>77</v>
      </c>
    </row>
    <row r="37" spans="1:3" x14ac:dyDescent="0.2">
      <c r="B37" s="241" t="s">
        <v>78</v>
      </c>
      <c r="C37" s="241" t="s">
        <v>79</v>
      </c>
    </row>
    <row r="38" spans="1:3" x14ac:dyDescent="0.2">
      <c r="B38" s="241" t="s">
        <v>80</v>
      </c>
      <c r="C38" s="241" t="s">
        <v>81</v>
      </c>
    </row>
    <row r="39" spans="1:3" x14ac:dyDescent="0.2">
      <c r="B39" s="241" t="s">
        <v>82</v>
      </c>
      <c r="C39" s="241" t="s">
        <v>83</v>
      </c>
    </row>
    <row r="40" spans="1:3" x14ac:dyDescent="0.2">
      <c r="B40" s="241" t="s">
        <v>84</v>
      </c>
      <c r="C40" s="241" t="s">
        <v>85</v>
      </c>
    </row>
    <row r="41" spans="1:3" x14ac:dyDescent="0.2">
      <c r="B41" s="241" t="s">
        <v>86</v>
      </c>
      <c r="C41" s="241" t="s">
        <v>111</v>
      </c>
    </row>
    <row r="42" spans="1:3" x14ac:dyDescent="0.2">
      <c r="B42" s="241" t="s">
        <v>88</v>
      </c>
      <c r="C42" s="241" t="s">
        <v>89</v>
      </c>
    </row>
    <row r="43" spans="1:3" x14ac:dyDescent="0.2">
      <c r="B43" s="241" t="s">
        <v>90</v>
      </c>
      <c r="C43" s="241" t="s">
        <v>91</v>
      </c>
    </row>
    <row r="44" spans="1:3" x14ac:dyDescent="0.2">
      <c r="B44" s="241" t="s">
        <v>112</v>
      </c>
      <c r="C44" s="241" t="s">
        <v>113</v>
      </c>
    </row>
    <row r="45" spans="1:3" x14ac:dyDescent="0.2">
      <c r="B45" s="241" t="s">
        <v>92</v>
      </c>
      <c r="C45" s="241" t="s">
        <v>93</v>
      </c>
    </row>
    <row r="46" spans="1:3" x14ac:dyDescent="0.2">
      <c r="B46" s="241" t="s">
        <v>94</v>
      </c>
      <c r="C46" s="250" t="s">
        <v>95</v>
      </c>
    </row>
    <row r="48" spans="1:3" x14ac:dyDescent="0.2">
      <c r="C48" s="236"/>
    </row>
    <row r="49" spans="2:6" x14ac:dyDescent="0.2">
      <c r="C49" s="236"/>
    </row>
    <row r="50" spans="2:6" x14ac:dyDescent="0.2">
      <c r="C50" s="236"/>
    </row>
    <row r="55" spans="2:6" x14ac:dyDescent="0.2">
      <c r="B55" s="286"/>
      <c r="C55" s="286"/>
      <c r="D55" s="286"/>
      <c r="E55" s="286"/>
      <c r="F55" s="286"/>
    </row>
    <row r="56" spans="2:6" x14ac:dyDescent="0.2">
      <c r="B56" s="288" t="str">
        <f>Ввод!B28</f>
        <v>26,9</v>
      </c>
      <c r="C56" s="287" t="str">
        <f>SUBSTITUTE(PROPER(INDEX(n_4,MID(TEXT(B56,n0),1,1)+1)&amp;INDEX(n0x,MID(TEXT(B56,n0),2,1)+1,MID(TEXT(B56,n0),3,1)+1)&amp;IF(-MID(TEXT(B56,n0),1,3),"миллиард"&amp;VLOOKUP(MID(TEXT(B56,n0),3,1)*AND(MID(TEXT(B56,n0),2,1)-1),мил,2),"")&amp;INDEX(n_4,MID(TEXT(B56,n0),4,1)+1)&amp;INDEX(n0x,MID(TEXT(B56,n0),5,1)+1,MID(TEXT(B56,n0),6,1)+1)&amp;IF(-MID(TEXT(B56,n0),4,3),"миллион"&amp;VLOOKUP(MID(TEXT(B56,n0),6,1)*AND(MID(TEXT(B56,n0),5,1)-1),мил,2),"")&amp;INDEX(n_4,MID(TEXT(B56,n0),7,1)+1)&amp;INDEX(n1x,MID(TEXT(B56,n0),8,1)+1,MID(TEXT(B56,n0),9,1)+1)&amp;IF(-MID(TEXT(B56,n0),7,3),VLOOKUP(MID(TEXT(B56,n0),9,1)*AND(MID(TEXT(B56,n0),8,1)-1),тыс,2),"")&amp;INDEX(n_4,MID(TEXT(B56,n0),10,1)+1)&amp;INDEX(IF(-MID(TEXT(B56,n0),14,6),n1x,n0x),MID(TEXT(B56,n0),11,1)+1,MID(TEXT(B56,n0),12,1)+1)),"z"," ")&amp;IF(TRUNC(TEXT(B56,n0)),,"Ноль ")&amp;IF(-MID(TEXT(B56,n0),14,6),IF(MOD(MAX(MOD(MID(TEXT(B56,n0),11,2)-11,100),9),10),"целых ","целая ")&amp;SUBSTITUTE(INDEX(n_4,MID(TEXT(B56,n0),14,6)/10^5+1)&amp;INDEX(n1x,MOD(MID(TEXT(B56,n0),14,6)/10^4,10)+1,MOD(MID(TEXT(B56,n0),14,6)/1000,10)+1)&amp;IF(INT(MID(TEXT(B56,n0),14,6)/1000),VLOOKUP(MOD(MID(TEXT(B56,n0),14,6)/1000,10)*(MOD(INT(MID(TEXT(B56,n0),14,6)/10^4),10)&lt;&gt;1),тыс,2),"")&amp;INDEX(n_4,MOD(MID(TEXT(B56,n0),14,6)/100,10)+1)&amp;INDEX(n1x,MOD(MID(TEXT(B56,n0),14,6)/10,10)+1,MOD(MID(TEXT(B56,n0),14,6),10)+1),"z"," ")&amp;INDEX(доля,LEN(MID(TEXT(B56,n0),14,6)),(MOD(MAX(MOD(MID(TEXT(B56,n0),14,6)-11,100),9),10)&gt;0)+1),)</f>
        <v>Двадцать шесть целых девять десятых</v>
      </c>
      <c r="D56" s="286"/>
      <c r="E56" s="286"/>
      <c r="F56" s="286"/>
    </row>
    <row r="57" spans="2:6" x14ac:dyDescent="0.2">
      <c r="B57" s="288">
        <f>слияние!W2</f>
        <v>6.2</v>
      </c>
      <c r="C57" s="287" t="str">
        <f>SUBSTITUTE(PROPER(INDEX(n_4,MID(TEXT(B57,n0),1,1)+1)&amp;INDEX(n0x,MID(TEXT(B57,n0),2,1)+1,MID(TEXT(B57,n0),3,1)+1)&amp;IF(-MID(TEXT(B57,n0),1,3),"миллиард"&amp;VLOOKUP(MID(TEXT(B57,n0),3,1)*AND(MID(TEXT(B57,n0),2,1)-1),мил,2),"")&amp;INDEX(n_4,MID(TEXT(B57,n0),4,1)+1)&amp;INDEX(n0x,MID(TEXT(B57,n0),5,1)+1,MID(TEXT(B57,n0),6,1)+1)&amp;IF(-MID(TEXT(B57,n0),4,3),"миллион"&amp;VLOOKUP(MID(TEXT(B57,n0),6,1)*AND(MID(TEXT(B57,n0),5,1)-1),мил,2),"")&amp;INDEX(n_4,MID(TEXT(B57,n0),7,1)+1)&amp;INDEX(n1x,MID(TEXT(B57,n0),8,1)+1,MID(TEXT(B57,n0),9,1)+1)&amp;IF(-MID(TEXT(B57,n0),7,3),VLOOKUP(MID(TEXT(B57,n0),9,1)*AND(MID(TEXT(B57,n0),8,1)-1),тыс,2),"")&amp;INDEX(n_4,MID(TEXT(B57,n0),10,1)+1)&amp;INDEX(IF(-MID(TEXT(B57,n0),14,6),n1x,n0x),MID(TEXT(B57,n0),11,1)+1,MID(TEXT(B57,n0),12,1)+1)),"z"," ")&amp;IF(TRUNC(TEXT(B57,n0)),,"Ноль ")&amp;IF(-MID(TEXT(B57,n0),14,6),IF(MOD(MAX(MOD(MID(TEXT(B57,n0),11,2)-11,100),9),10),"целых ","целая ")&amp;SUBSTITUTE(INDEX(n_4,MID(TEXT(B57,n0),14,6)/10^5+1)&amp;INDEX(n1x,MOD(MID(TEXT(B57,n0),14,6)/10^4,10)+1,MOD(MID(TEXT(B57,n0),14,6)/1000,10)+1)&amp;IF(INT(MID(TEXT(B57,n0),14,6)/1000),VLOOKUP(MOD(MID(TEXT(B57,n0),14,6)/1000,10)*(MOD(INT(MID(TEXT(B57,n0),14,6)/10^4),10)&lt;&gt;1),тыс,2),"")&amp;INDEX(n_4,MOD(MID(TEXT(B57,n0),14,6)/100,10)+1)&amp;INDEX(n1x,MOD(MID(TEXT(B57,n0),14,6)/10,10)+1,MOD(MID(TEXT(B57,n0),14,6),10)+1),"z"," ")&amp;INDEX(доля,LEN(MID(TEXT(B57,n0),14,6)),(MOD(MAX(MOD(MID(TEXT(B57,n0),14,6)-11,100),9),10)&gt;0)+1),)</f>
        <v>Шесть целых две десятых</v>
      </c>
      <c r="D57" s="286"/>
      <c r="E57" s="286"/>
      <c r="F57" s="286"/>
    </row>
    <row r="58" spans="2:6" x14ac:dyDescent="0.2">
      <c r="B58" s="289">
        <f>слияние!Q2</f>
        <v>57.4</v>
      </c>
      <c r="C58" s="287" t="str">
        <f>SUBSTITUTE(PROPER(INDEX(n_4,MID(TEXT(B58,n0),1,1)+1)&amp;INDEX(n0x,MID(TEXT(B58,n0),2,1)+1,MID(TEXT(B58,n0),3,1)+1)&amp;IF(-MID(TEXT(B58,n0),1,3),"миллиард"&amp;VLOOKUP(MID(TEXT(B58,n0),3,1)*AND(MID(TEXT(B58,n0),2,1)-1),мил,2),"")&amp;INDEX(n_4,MID(TEXT(B58,n0),4,1)+1)&amp;INDEX(n0x,MID(TEXT(B58,n0),5,1)+1,MID(TEXT(B58,n0),6,1)+1)&amp;IF(-MID(TEXT(B58,n0),4,3),"миллион"&amp;VLOOKUP(MID(TEXT(B58,n0),6,1)*AND(MID(TEXT(B58,n0),5,1)-1),мил,2),"")&amp;INDEX(n_4,MID(TEXT(B58,n0),7,1)+1)&amp;INDEX(n1x,MID(TEXT(B58,n0),8,1)+1,MID(TEXT(B58,n0),9,1)+1)&amp;IF(-MID(TEXT(B58,n0),7,3),VLOOKUP(MID(TEXT(B58,n0),9,1)*AND(MID(TEXT(B58,n0),8,1)-1),тыс,2),"")&amp;INDEX(n_4,MID(TEXT(B58,n0),10,1)+1)&amp;INDEX(IF(-MID(TEXT(B58,n0),14,6),n1x,n0x),MID(TEXT(B58,n0),11,1)+1,MID(TEXT(B58,n0),12,1)+1)),"z"," ")&amp;IF(TRUNC(TEXT(B58,n0)),,"Ноль ")&amp;IF(-MID(TEXT(B58,n0),14,6),IF(MOD(MAX(MOD(MID(TEXT(B58,n0),11,2)-11,100),9),10),"целых ","целая ")&amp;SUBSTITUTE(INDEX(n_4,MID(TEXT(B58,n0),14,6)/10^5+1)&amp;INDEX(n1x,MOD(MID(TEXT(B58,n0),14,6)/10^4,10)+1,MOD(MID(TEXT(B58,n0),14,6)/1000,10)+1)&amp;IF(INT(MID(TEXT(B58,n0),14,6)/1000),VLOOKUP(MOD(MID(TEXT(B58,n0),14,6)/1000,10)*(MOD(INT(MID(TEXT(B58,n0),14,6)/10^4),10)&lt;&gt;1),тыс,2),"")&amp;INDEX(n_4,MOD(MID(TEXT(B58,n0),14,6)/100,10)+1)&amp;INDEX(n1x,MOD(MID(TEXT(B58,n0),14,6)/10,10)+1,MOD(MID(TEXT(B58,n0),14,6),10)+1),"z"," ")&amp;INDEX(доля,LEN(MID(TEXT(B58,n0),14,6)),(MOD(MAX(MOD(MID(TEXT(B58,n0),14,6)-11,100),9),10)&gt;0)+1),)</f>
        <v>Пятьдесят семь целых четыре десятых</v>
      </c>
      <c r="D58" s="286"/>
      <c r="E58" s="286"/>
      <c r="F58" s="286"/>
    </row>
    <row r="59" spans="2:6" x14ac:dyDescent="0.2">
      <c r="B59" s="290" t="str">
        <f>слияние!AQ2</f>
        <v>2,51</v>
      </c>
      <c r="C59" s="287" t="str">
        <f>SUBSTITUTE(PROPER(INDEX(n_4,MID(TEXT(B59,n0),1,1)+1)&amp;INDEX(n0x,MID(TEXT(B59,n0),2,1)+1,MID(TEXT(B59,n0),3,1)+1)&amp;IF(-MID(TEXT(B59,n0),1,3),"миллиард"&amp;VLOOKUP(MID(TEXT(B59,n0),3,1)*AND(MID(TEXT(B59,n0),2,1)-1),мил,2),"")&amp;INDEX(n_4,MID(TEXT(B59,n0),4,1)+1)&amp;INDEX(n0x,MID(TEXT(B59,n0),5,1)+1,MID(TEXT(B59,n0),6,1)+1)&amp;IF(-MID(TEXT(B59,n0),4,3),"миллион"&amp;VLOOKUP(MID(TEXT(B59,n0),6,1)*AND(MID(TEXT(B59,n0),5,1)-1),мил,2),"")&amp;INDEX(n_4,MID(TEXT(B59,n0),7,1)+1)&amp;INDEX(n1x,MID(TEXT(B59,n0),8,1)+1,MID(TEXT(B59,n0),9,1)+1)&amp;IF(-MID(TEXT(B59,n0),7,3),VLOOKUP(MID(TEXT(B59,n0),9,1)*AND(MID(TEXT(B59,n0),8,1)-1),тыс,2),"")&amp;INDEX(n_4,MID(TEXT(B59,n0),10,1)+1)&amp;INDEX(IF(-MID(TEXT(B59,n0),14,6),n1x,n0x),MID(TEXT(B59,n0),11,1)+1,MID(TEXT(B59,n0),12,1)+1)),"z"," ")&amp;IF(TRUNC(TEXT(B59,n0)),,"Ноль ")&amp;IF(-MID(TEXT(B59,n0),14,6),IF(MOD(MAX(MOD(MID(TEXT(B59,n0),11,2)-11,100),9),10),"целых ","целая ")&amp;SUBSTITUTE(INDEX(n_4,MID(TEXT(B59,n0),14,6)/10^5+1)&amp;INDEX(n1x,MOD(MID(TEXT(B59,n0),14,6)/10^4,10)+1,MOD(MID(TEXT(B59,n0),14,6)/1000,10)+1)&amp;IF(INT(MID(TEXT(B59,n0),14,6)/1000),VLOOKUP(MOD(MID(TEXT(B59,n0),14,6)/1000,10)*(MOD(INT(MID(TEXT(B59,n0),14,6)/10^4),10)&lt;&gt;1),тыс,2),"")&amp;INDEX(n_4,MOD(MID(TEXT(B59,n0),14,6)/100,10)+1)&amp;INDEX(n1x,MOD(MID(TEXT(B59,n0),14,6)/10,10)+1,MOD(MID(TEXT(B59,n0),14,6),10)+1),"z"," ")&amp;INDEX(доля,LEN(MID(TEXT(B59,n0),14,6)),(MOD(MAX(MOD(MID(TEXT(B59,n0),14,6)-11,100),9),10)&gt;0)+1),)</f>
        <v>Две целых пятьдесят одна сотая</v>
      </c>
      <c r="D59" s="286"/>
      <c r="E59" s="286"/>
      <c r="F59" s="286"/>
    </row>
    <row r="60" spans="2:6" x14ac:dyDescent="0.2">
      <c r="B60" s="286"/>
      <c r="C60" s="286"/>
      <c r="D60" s="286"/>
      <c r="E60" s="286"/>
      <c r="F60" s="286"/>
    </row>
    <row r="61" spans="2:6" x14ac:dyDescent="0.2">
      <c r="B61" s="286"/>
      <c r="C61" s="286"/>
      <c r="D61" s="286"/>
      <c r="E61" s="286"/>
      <c r="F61" s="286"/>
    </row>
    <row r="62" spans="2:6" x14ac:dyDescent="0.2">
      <c r="B62" s="286"/>
      <c r="C62" s="286"/>
      <c r="D62" s="286"/>
      <c r="E62" s="286"/>
      <c r="F62" s="286"/>
    </row>
    <row r="63" spans="2:6" x14ac:dyDescent="0.2">
      <c r="B63" s="286"/>
      <c r="C63" s="286"/>
      <c r="D63" s="286"/>
      <c r="E63" s="286"/>
      <c r="F63" s="286"/>
    </row>
    <row r="64" spans="2:6" x14ac:dyDescent="0.2">
      <c r="B64" s="286"/>
      <c r="C64" s="286"/>
      <c r="D64" s="286"/>
      <c r="E64" s="286"/>
      <c r="F64" s="286"/>
    </row>
    <row r="65" spans="2:6" x14ac:dyDescent="0.2">
      <c r="B65" s="286"/>
      <c r="C65" s="286"/>
      <c r="D65" s="286"/>
      <c r="E65" s="286"/>
      <c r="F65" s="286"/>
    </row>
    <row r="66" spans="2:6" x14ac:dyDescent="0.2">
      <c r="B66" s="286"/>
      <c r="C66" s="286"/>
      <c r="D66" s="286"/>
      <c r="E66" s="286"/>
      <c r="F66" s="286"/>
    </row>
    <row r="67" spans="2:6" x14ac:dyDescent="0.2">
      <c r="B67" s="286"/>
      <c r="C67" s="286"/>
      <c r="D67" s="286"/>
      <c r="E67" s="286"/>
      <c r="F67" s="286"/>
    </row>
    <row r="68" spans="2:6" x14ac:dyDescent="0.2">
      <c r="B68" s="286"/>
      <c r="C68" s="286"/>
      <c r="D68" s="286"/>
      <c r="E68" s="286"/>
      <c r="F68" s="28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70C0"/>
  </sheetPr>
  <dimension ref="A1"/>
  <sheetViews>
    <sheetView zoomScale="75" zoomScaleNormal="75" workbookViewId="0">
      <selection activeCell="O32" sqref="O32"/>
    </sheetView>
  </sheetViews>
  <sheetFormatPr defaultRowHeight="12" x14ac:dyDescent="0.2"/>
  <cols>
    <col min="1" max="1" width="7.85546875" customWidth="1"/>
  </cols>
  <sheetData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70C0"/>
  </sheetPr>
  <dimension ref="B9:C21"/>
  <sheetViews>
    <sheetView topLeftCell="A6" workbookViewId="0">
      <selection activeCell="F26" sqref="F26"/>
    </sheetView>
  </sheetViews>
  <sheetFormatPr defaultColWidth="15.140625" defaultRowHeight="15.75" x14ac:dyDescent="0.25"/>
  <cols>
    <col min="1" max="1" width="15.140625" style="221"/>
    <col min="2" max="2" width="35.85546875" style="221" customWidth="1"/>
    <col min="3" max="3" width="25" style="222" customWidth="1"/>
    <col min="4" max="16384" width="15.140625" style="221"/>
  </cols>
  <sheetData>
    <row r="9" spans="2:3" x14ac:dyDescent="0.25">
      <c r="B9" s="268" t="str">
        <f>'Таблицы расч'!A81</f>
        <v>Факторы сравнения</v>
      </c>
      <c r="C9" s="269" t="str">
        <f>'Таблицы расч'!H81</f>
        <v>Влияние фактора</v>
      </c>
    </row>
    <row r="10" spans="2:3" ht="15" hidden="1" customHeight="1" x14ac:dyDescent="0.25">
      <c r="B10" s="266" t="str">
        <f>'Таблицы расч'!A82</f>
        <v>Состояние</v>
      </c>
      <c r="C10" s="267">
        <f>'Таблицы расч'!H82</f>
        <v>0</v>
      </c>
    </row>
    <row r="11" spans="2:3" ht="15.75" customHeight="1" x14ac:dyDescent="0.25">
      <c r="B11" s="266" t="str">
        <f>'Таблицы расч'!A83</f>
        <v>Этаж/Этажность</v>
      </c>
      <c r="C11" s="267">
        <f>'Таблицы расч'!H83</f>
        <v>0.25</v>
      </c>
    </row>
    <row r="12" spans="2:3" x14ac:dyDescent="0.25">
      <c r="B12" s="266" t="str">
        <f>'Таблицы расч'!A84</f>
        <v>Общая площадь (м.кв.)</v>
      </c>
      <c r="C12" s="267">
        <f>'Таблицы расч'!H84</f>
        <v>0.3</v>
      </c>
    </row>
    <row r="13" spans="2:3" ht="31.5" hidden="1" x14ac:dyDescent="0.25">
      <c r="B13" s="266" t="str">
        <f>'Таблицы расч'!A85</f>
        <v>Местоположение, транспортная доступность</v>
      </c>
      <c r="C13" s="267">
        <f>'Таблицы расч'!H85</f>
        <v>0</v>
      </c>
    </row>
    <row r="14" spans="2:3" hidden="1" x14ac:dyDescent="0.25">
      <c r="B14" s="266" t="str">
        <f>'Таблицы расч'!A86</f>
        <v>Санузел</v>
      </c>
      <c r="C14" s="267">
        <f>'Таблицы расч'!H86</f>
        <v>0</v>
      </c>
    </row>
    <row r="15" spans="2:3" ht="18" hidden="1" customHeight="1" x14ac:dyDescent="0.25">
      <c r="B15" s="266" t="str">
        <f>'Таблицы расч'!A87</f>
        <v>Тип дома</v>
      </c>
      <c r="C15" s="267">
        <f>'Таблицы расч'!H87</f>
        <v>0</v>
      </c>
    </row>
    <row r="16" spans="2:3" ht="18.75" hidden="1" customHeight="1" x14ac:dyDescent="0.25">
      <c r="B16" s="266" t="str">
        <f>'Таблицы расч'!A88</f>
        <v>Вид из окон</v>
      </c>
      <c r="C16" s="267">
        <f>'Таблицы расч'!H88</f>
        <v>0</v>
      </c>
    </row>
    <row r="17" spans="2:3" ht="16.5" hidden="1" customHeight="1" x14ac:dyDescent="0.25">
      <c r="B17" s="266" t="str">
        <f>'Таблицы расч'!A89</f>
        <v>Планировка</v>
      </c>
      <c r="C17" s="267">
        <f>'Таблицы расч'!H89</f>
        <v>0</v>
      </c>
    </row>
    <row r="18" spans="2:3" x14ac:dyDescent="0.25">
      <c r="B18" s="266" t="str">
        <f>'Таблицы расч'!A90</f>
        <v>Наличие улучшений</v>
      </c>
      <c r="C18" s="267">
        <f>'Таблицы расч'!H90</f>
        <v>0.1</v>
      </c>
    </row>
    <row r="19" spans="2:3" x14ac:dyDescent="0.25">
      <c r="B19" s="266" t="str">
        <f>'Таблицы расч'!A91</f>
        <v>Кухня</v>
      </c>
      <c r="C19" s="267">
        <f>'Таблицы расч'!H91</f>
        <v>0.35</v>
      </c>
    </row>
    <row r="20" spans="2:3" x14ac:dyDescent="0.25">
      <c r="B20" s="265"/>
    </row>
    <row r="21" spans="2:3" x14ac:dyDescent="0.25">
      <c r="B21" s="265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-0.499984740745262"/>
  </sheetPr>
  <dimension ref="A2:M22"/>
  <sheetViews>
    <sheetView topLeftCell="A2" workbookViewId="0">
      <selection activeCell="F14" sqref="F14"/>
    </sheetView>
  </sheetViews>
  <sheetFormatPr defaultRowHeight="12" x14ac:dyDescent="0.2"/>
  <cols>
    <col min="1" max="1" width="10.5703125" customWidth="1"/>
    <col min="2" max="2" width="12.42578125" customWidth="1"/>
    <col min="3" max="3" width="14.140625" customWidth="1"/>
    <col min="4" max="4" width="15.140625" customWidth="1"/>
    <col min="5" max="5" width="34.140625" customWidth="1"/>
    <col min="6" max="6" width="13.42578125" customWidth="1"/>
    <col min="7" max="7" width="12.28515625" customWidth="1"/>
    <col min="9" max="9" width="8.7109375" customWidth="1"/>
    <col min="10" max="10" width="24.42578125" customWidth="1"/>
    <col min="11" max="11" width="13" customWidth="1"/>
    <col min="13" max="13" width="33.5703125" customWidth="1"/>
  </cols>
  <sheetData>
    <row r="2" spans="1:13" ht="12.75" thickBot="1" x14ac:dyDescent="0.25"/>
    <row r="3" spans="1:13" ht="36.75" thickBot="1" x14ac:dyDescent="0.25">
      <c r="A3" s="343" t="s">
        <v>17</v>
      </c>
      <c r="B3" s="343" t="s">
        <v>6</v>
      </c>
      <c r="C3" s="343" t="s">
        <v>41</v>
      </c>
      <c r="D3" s="356" t="s">
        <v>216</v>
      </c>
      <c r="E3" s="344"/>
      <c r="F3" s="344"/>
      <c r="G3" s="351" t="s">
        <v>222</v>
      </c>
      <c r="I3" s="514" t="s">
        <v>223</v>
      </c>
      <c r="J3" s="515"/>
      <c r="K3" s="359" t="s">
        <v>224</v>
      </c>
      <c r="L3" s="516" t="s">
        <v>225</v>
      </c>
      <c r="M3" s="517"/>
    </row>
    <row r="4" spans="1:13" s="348" customFormat="1" ht="22.5" customHeight="1" x14ac:dyDescent="0.2">
      <c r="A4" s="355">
        <f>'Регресс. анализ'!A3</f>
        <v>1</v>
      </c>
      <c r="B4" s="370">
        <f>'Регресс. анализ'!B3</f>
        <v>0.6333333333333333</v>
      </c>
      <c r="C4" s="370">
        <f>'Регресс. анализ'!C3</f>
        <v>67436.797752808983</v>
      </c>
      <c r="D4" s="357">
        <f>C4/B4</f>
        <v>106479.1543465405</v>
      </c>
      <c r="E4" s="354" t="s">
        <v>210</v>
      </c>
      <c r="F4" s="347">
        <f>CORREL(B4:B8,C4:C8)</f>
        <v>0.88439733139113752</v>
      </c>
      <c r="G4" s="346" t="str">
        <f>TEXT(F4,"0,00")</f>
        <v>0,88</v>
      </c>
      <c r="I4" s="518" t="s">
        <v>226</v>
      </c>
      <c r="J4" s="519"/>
      <c r="K4" s="360">
        <f>F5</f>
        <v>0.78215863977176547</v>
      </c>
      <c r="L4" s="504" t="s">
        <v>227</v>
      </c>
      <c r="M4" s="520"/>
    </row>
    <row r="5" spans="1:13" s="348" customFormat="1" ht="22.5" customHeight="1" x14ac:dyDescent="0.2">
      <c r="A5" s="355">
        <f>'Регресс. анализ'!A4</f>
        <v>2</v>
      </c>
      <c r="B5" s="370">
        <f>'Регресс. анализ'!B4</f>
        <v>0.82499999999999996</v>
      </c>
      <c r="C5" s="370">
        <f>'Регресс. анализ'!C4</f>
        <v>79812.280701754382</v>
      </c>
      <c r="D5" s="357">
        <f t="shared" ref="D5:D8" si="0">C5/B5</f>
        <v>96742.158426368958</v>
      </c>
      <c r="E5" s="354" t="s">
        <v>207</v>
      </c>
      <c r="F5" s="349">
        <f>F4*F4</f>
        <v>0.78215863977176547</v>
      </c>
      <c r="G5" s="346" t="str">
        <f>TEXT(F5,"0,00")</f>
        <v>0,78</v>
      </c>
      <c r="I5" s="506" t="s">
        <v>228</v>
      </c>
      <c r="J5" s="507"/>
      <c r="K5" s="352">
        <f>F8</f>
        <v>10.771489476823273</v>
      </c>
      <c r="L5" s="502" t="s">
        <v>229</v>
      </c>
      <c r="M5" s="503"/>
    </row>
    <row r="6" spans="1:13" s="348" customFormat="1" ht="22.5" customHeight="1" x14ac:dyDescent="0.2">
      <c r="A6" s="355">
        <f>'Регресс. анализ'!A5</f>
        <v>3</v>
      </c>
      <c r="B6" s="370">
        <f>'Регресс. анализ'!B5</f>
        <v>0.82499999999999996</v>
      </c>
      <c r="C6" s="370">
        <f>'Регресс. анализ'!C5</f>
        <v>79701.666666666672</v>
      </c>
      <c r="D6" s="357">
        <f t="shared" si="0"/>
        <v>96608.08080808082</v>
      </c>
      <c r="E6" s="354" t="s">
        <v>208</v>
      </c>
      <c r="F6" s="350">
        <v>5</v>
      </c>
      <c r="G6" s="346" t="str">
        <f>TEXT(F6,"0")</f>
        <v>5</v>
      </c>
      <c r="I6" s="506" t="s">
        <v>230</v>
      </c>
      <c r="J6" s="507"/>
      <c r="K6" s="361">
        <f>F9</f>
        <v>5.5383194562622373</v>
      </c>
      <c r="L6" s="504"/>
      <c r="M6" s="505"/>
    </row>
    <row r="7" spans="1:13" s="348" customFormat="1" ht="22.5" customHeight="1" x14ac:dyDescent="0.2">
      <c r="A7" s="355">
        <f>'Регресс. анализ'!A6</f>
        <v>4</v>
      </c>
      <c r="B7" s="370">
        <f>'Регресс. анализ'!B6</f>
        <v>0.7416666666666667</v>
      </c>
      <c r="C7" s="370">
        <f>'Регресс. анализ'!C6</f>
        <v>75258.620689655174</v>
      </c>
      <c r="D7" s="357">
        <f t="shared" si="0"/>
        <v>101472.29755908562</v>
      </c>
      <c r="E7" s="354" t="s">
        <v>209</v>
      </c>
      <c r="F7" s="350">
        <v>1</v>
      </c>
      <c r="G7" s="346" t="str">
        <f>TEXT(F7,"0")</f>
        <v>1</v>
      </c>
      <c r="I7" s="506" t="s">
        <v>214</v>
      </c>
      <c r="J7" s="507"/>
      <c r="K7" s="352">
        <f>F11</f>
        <v>3.2819947405234022</v>
      </c>
      <c r="L7" s="502" t="s">
        <v>231</v>
      </c>
      <c r="M7" s="503"/>
    </row>
    <row r="8" spans="1:13" s="348" customFormat="1" ht="22.5" customHeight="1" x14ac:dyDescent="0.2">
      <c r="A8" s="355">
        <f>'Регресс. анализ'!A7</f>
        <v>5</v>
      </c>
      <c r="B8" s="370">
        <f>'Регресс. анализ'!B7</f>
        <v>0.85</v>
      </c>
      <c r="C8" s="370">
        <f>'Регресс. анализ'!C7</f>
        <v>75654.596100278548</v>
      </c>
      <c r="D8" s="357">
        <f t="shared" si="0"/>
        <v>89005.407176798297</v>
      </c>
      <c r="E8" s="354" t="s">
        <v>213</v>
      </c>
      <c r="F8" s="345">
        <f>F5/(1-F5)*(F6-F7-1)/F7</f>
        <v>10.771489476823273</v>
      </c>
      <c r="G8" s="346" t="str">
        <f t="shared" ref="G8:G12" si="1">TEXT(F8,"0,00")</f>
        <v>10,77</v>
      </c>
      <c r="I8" s="506" t="s">
        <v>215</v>
      </c>
      <c r="J8" s="507"/>
      <c r="K8" s="352">
        <f>F12</f>
        <v>2.3533634348018233</v>
      </c>
      <c r="L8" s="504"/>
      <c r="M8" s="505"/>
    </row>
    <row r="9" spans="1:13" s="348" customFormat="1" ht="22.5" customHeight="1" x14ac:dyDescent="0.2">
      <c r="E9" s="354" t="s">
        <v>211</v>
      </c>
      <c r="F9" s="345">
        <f>FINV(F10,1,F6-F7-1)</f>
        <v>5.5383194562622373</v>
      </c>
      <c r="G9" s="346" t="str">
        <f t="shared" si="1"/>
        <v>5,54</v>
      </c>
      <c r="I9" s="506" t="s">
        <v>232</v>
      </c>
      <c r="J9" s="507"/>
      <c r="K9" s="362">
        <f>F13</f>
        <v>7.0000000000000009</v>
      </c>
      <c r="L9" s="508" t="s">
        <v>233</v>
      </c>
      <c r="M9" s="509"/>
    </row>
    <row r="10" spans="1:13" s="348" customFormat="1" ht="24.75" customHeight="1" thickBot="1" x14ac:dyDescent="0.25">
      <c r="A10" s="366"/>
      <c r="B10" s="366" t="s">
        <v>218</v>
      </c>
      <c r="C10" s="367" t="s">
        <v>219</v>
      </c>
      <c r="D10" s="367" t="s">
        <v>220</v>
      </c>
      <c r="E10" s="363" t="s">
        <v>212</v>
      </c>
      <c r="F10" s="358">
        <v>0.1</v>
      </c>
      <c r="G10" s="346" t="str">
        <f>TEXT(F10,"0,00")</f>
        <v>0,10</v>
      </c>
      <c r="I10" s="510" t="s">
        <v>221</v>
      </c>
      <c r="J10" s="511"/>
      <c r="K10" s="371">
        <f>F14</f>
        <v>2.4891808325659786</v>
      </c>
      <c r="L10" s="512" t="s">
        <v>234</v>
      </c>
      <c r="M10" s="513"/>
    </row>
    <row r="11" spans="1:13" ht="24.75" customHeight="1" x14ac:dyDescent="0.2">
      <c r="A11" s="367">
        <v>1</v>
      </c>
      <c r="B11" s="368">
        <f>TREND(C4:C8,B4:B8,B4)</f>
        <v>68501.274745850184</v>
      </c>
      <c r="C11" s="368">
        <f>ABS(C4-B11)</f>
        <v>1064.4769930412003</v>
      </c>
      <c r="D11" s="369">
        <f>C11/C4</f>
        <v>1.5784809310534931E-2</v>
      </c>
      <c r="E11" s="364" t="s">
        <v>214</v>
      </c>
      <c r="F11" s="353">
        <f>F4*SQRT((F6-2)/(1-F4*F4))</f>
        <v>3.2819947405234022</v>
      </c>
      <c r="G11" s="346" t="str">
        <f t="shared" si="1"/>
        <v>3,28</v>
      </c>
    </row>
    <row r="12" spans="1:13" ht="24.75" customHeight="1" x14ac:dyDescent="0.2">
      <c r="A12" s="367">
        <v>2</v>
      </c>
      <c r="B12" s="368">
        <f>TREND(C4:C8,B4:B8,B5)</f>
        <v>78068.622136250138</v>
      </c>
      <c r="C12" s="368">
        <f>ABS(C5-B12)</f>
        <v>1743.6585655042436</v>
      </c>
      <c r="D12" s="369">
        <f t="shared" ref="D12:D15" si="2">C12/C5</f>
        <v>2.1846995852931636E-2</v>
      </c>
      <c r="E12" s="364" t="s">
        <v>215</v>
      </c>
      <c r="F12" s="352">
        <f>TINV(F10,F6-F7-1)</f>
        <v>2.3533634348018233</v>
      </c>
      <c r="G12" s="346" t="str">
        <f t="shared" si="1"/>
        <v>2,35</v>
      </c>
    </row>
    <row r="13" spans="1:13" ht="24.75" customHeight="1" x14ac:dyDescent="0.2">
      <c r="A13" s="367">
        <v>3</v>
      </c>
      <c r="B13" s="368">
        <f>TREND(C4:C8,B4:B8,B6)</f>
        <v>78068.622136250138</v>
      </c>
      <c r="C13" s="368">
        <f t="shared" ref="C13:C15" si="3">ABS(C6-B13)</f>
        <v>1633.0445304165332</v>
      </c>
      <c r="D13" s="369">
        <f t="shared" si="2"/>
        <v>2.0489465261076093E-2</v>
      </c>
      <c r="E13" s="365" t="s">
        <v>217</v>
      </c>
      <c r="F13" s="346">
        <f>ROUND((_xlfn.STDEV.S(C4:C8)/AVERAGE(C4:C8)),2)*100</f>
        <v>7.0000000000000009</v>
      </c>
      <c r="G13" s="346" t="str">
        <f>TEXT(F13,"0")</f>
        <v>7</v>
      </c>
    </row>
    <row r="14" spans="1:13" ht="24.75" customHeight="1" thickBot="1" x14ac:dyDescent="0.25">
      <c r="A14" s="367">
        <v>4</v>
      </c>
      <c r="B14" s="368">
        <f>TREND(C4:C8,B4:B8,B7)</f>
        <v>73908.905879554513</v>
      </c>
      <c r="C14" s="368">
        <f t="shared" si="3"/>
        <v>1349.7148101006605</v>
      </c>
      <c r="D14" s="369">
        <f t="shared" si="2"/>
        <v>1.793435486502596E-2</v>
      </c>
      <c r="E14" s="376" t="s">
        <v>221</v>
      </c>
      <c r="F14" s="377">
        <f>AVERAGE(D11:D15)*100</f>
        <v>2.4891808325659786</v>
      </c>
      <c r="G14" s="378" t="str">
        <f>TEXT(F14,"0,0")</f>
        <v>2,5</v>
      </c>
    </row>
    <row r="15" spans="1:13" ht="24.75" customHeight="1" thickBot="1" x14ac:dyDescent="0.25">
      <c r="A15" s="367">
        <v>5</v>
      </c>
      <c r="B15" s="368">
        <f>TREND(C4:C8,B4:B8,B8)</f>
        <v>79316.537013258814</v>
      </c>
      <c r="C15" s="368">
        <f t="shared" si="3"/>
        <v>3661.9409129802661</v>
      </c>
      <c r="D15" s="372">
        <f t="shared" si="2"/>
        <v>4.8403416338730326E-2</v>
      </c>
      <c r="E15" s="379" t="s">
        <v>238</v>
      </c>
      <c r="F15" s="380">
        <f>ROUND(B18,0)</f>
        <v>49917</v>
      </c>
      <c r="G15" s="381" t="str">
        <f>TEXT(F15,"0")</f>
        <v>49917</v>
      </c>
    </row>
    <row r="16" spans="1:13" ht="18" customHeight="1" thickBot="1" x14ac:dyDescent="0.25">
      <c r="E16" s="382" t="s">
        <v>239</v>
      </c>
      <c r="F16" s="346">
        <f>ROUND(B19,0)</f>
        <v>36887</v>
      </c>
      <c r="G16" s="386" t="str">
        <f>CONCATENATE(H16,I16)</f>
        <v>+36 887</v>
      </c>
      <c r="H16" s="388" t="str">
        <f>IF(B18&lt;0,,"+")</f>
        <v>+</v>
      </c>
      <c r="I16" s="387" t="str">
        <f>FIXED(B19,0)</f>
        <v>36 887</v>
      </c>
    </row>
    <row r="17" spans="1:7" ht="20.25" customHeight="1" thickBot="1" x14ac:dyDescent="0.25">
      <c r="E17" s="383" t="s">
        <v>240</v>
      </c>
      <c r="F17" s="384">
        <f>B20</f>
        <v>0.82499999999999996</v>
      </c>
      <c r="G17" s="385" t="str">
        <f>TEXT(F17,"0,00")</f>
        <v>0,83</v>
      </c>
    </row>
    <row r="18" spans="1:7" ht="20.25" customHeight="1" x14ac:dyDescent="0.2">
      <c r="A18" s="373" t="s">
        <v>235</v>
      </c>
      <c r="B18" s="374">
        <f>LINEST(C4:C8,B4:B8,TRUE)</f>
        <v>49916.59508034755</v>
      </c>
    </row>
    <row r="19" spans="1:7" ht="20.25" customHeight="1" x14ac:dyDescent="0.2">
      <c r="A19" s="373" t="s">
        <v>236</v>
      </c>
      <c r="B19" s="373">
        <f>TREND(C4:C8,B4:B8,0)</f>
        <v>36887.431194963407</v>
      </c>
    </row>
    <row r="20" spans="1:7" ht="22.5" customHeight="1" x14ac:dyDescent="0.2">
      <c r="A20" s="375" t="s">
        <v>237</v>
      </c>
      <c r="B20" s="389">
        <f>'Регресс. анализ'!$K$3</f>
        <v>0.82499999999999996</v>
      </c>
    </row>
    <row r="21" spans="1:7" ht="20.25" customHeight="1" x14ac:dyDescent="0.2"/>
    <row r="22" spans="1:7" ht="20.25" customHeight="1" x14ac:dyDescent="0.2"/>
  </sheetData>
  <mergeCells count="14">
    <mergeCell ref="I3:J3"/>
    <mergeCell ref="L3:M3"/>
    <mergeCell ref="I4:J4"/>
    <mergeCell ref="L4:M4"/>
    <mergeCell ref="I5:J5"/>
    <mergeCell ref="L5:M6"/>
    <mergeCell ref="I6:J6"/>
    <mergeCell ref="L7:M8"/>
    <mergeCell ref="I8:J8"/>
    <mergeCell ref="I9:J9"/>
    <mergeCell ref="L9:M9"/>
    <mergeCell ref="I10:J10"/>
    <mergeCell ref="L10:M10"/>
    <mergeCell ref="I7:J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C00000"/>
  </sheetPr>
  <dimension ref="A1:L34"/>
  <sheetViews>
    <sheetView showGridLines="0" topLeftCell="A34" zoomScaleNormal="100" workbookViewId="0">
      <selection activeCell="A2" sqref="A2"/>
    </sheetView>
  </sheetViews>
  <sheetFormatPr defaultRowHeight="15.75" x14ac:dyDescent="0.25"/>
  <cols>
    <col min="1" max="2" width="9.140625" style="448"/>
    <col min="3" max="3" width="6.85546875" style="448" customWidth="1"/>
    <col min="4" max="7" width="9.140625" style="448"/>
    <col min="8" max="8" width="15.140625" style="448" customWidth="1"/>
    <col min="9" max="9" width="10.85546875" style="448" customWidth="1"/>
    <col min="10" max="10" width="9.7109375" style="448" customWidth="1"/>
    <col min="11" max="16384" width="9.140625" style="448"/>
  </cols>
  <sheetData>
    <row r="1" spans="1:10" ht="20.25" customHeight="1" x14ac:dyDescent="0.25">
      <c r="F1" s="536" t="s">
        <v>398</v>
      </c>
      <c r="G1" s="536"/>
      <c r="H1" s="537" t="str">
        <f>Ввод!B3</f>
        <v>3/29/09/17</v>
      </c>
      <c r="I1" s="538"/>
      <c r="J1" s="538"/>
    </row>
    <row r="2" spans="1:10" ht="20.25" customHeight="1" x14ac:dyDescent="0.25">
      <c r="F2" s="539" t="s">
        <v>399</v>
      </c>
      <c r="G2" s="539"/>
      <c r="H2" s="540">
        <f>Ввод!B4</f>
        <v>43007</v>
      </c>
      <c r="I2" s="540"/>
      <c r="J2" s="540"/>
    </row>
    <row r="3" spans="1:10" ht="31.5" customHeight="1" x14ac:dyDescent="0.25">
      <c r="A3" s="541" t="s">
        <v>400</v>
      </c>
      <c r="B3" s="541"/>
      <c r="C3" s="541"/>
      <c r="D3" s="541"/>
      <c r="E3" s="541"/>
      <c r="F3" s="541"/>
      <c r="G3" s="541"/>
      <c r="H3" s="541"/>
      <c r="I3" s="541"/>
      <c r="J3" s="541"/>
    </row>
    <row r="4" spans="1:10" customFormat="1" ht="20.25" customHeight="1" x14ac:dyDescent="0.25">
      <c r="A4" s="535" t="str">
        <f>Ввод!C3</f>
        <v>квартира</v>
      </c>
      <c r="B4" s="535"/>
      <c r="C4" s="535"/>
      <c r="D4" s="535"/>
      <c r="E4" s="535"/>
      <c r="F4" s="535"/>
      <c r="G4" s="535"/>
      <c r="H4" s="535"/>
      <c r="I4" s="535"/>
      <c r="J4" s="535"/>
    </row>
    <row r="5" spans="1:10" ht="20.25" customHeight="1" x14ac:dyDescent="0.25">
      <c r="A5" s="530" t="s">
        <v>401</v>
      </c>
      <c r="B5" s="530"/>
      <c r="C5" s="530"/>
      <c r="D5" s="530"/>
      <c r="E5" s="530"/>
      <c r="F5" s="530"/>
      <c r="G5" s="530"/>
      <c r="H5" s="530"/>
      <c r="I5" s="530"/>
      <c r="J5" s="530"/>
    </row>
    <row r="6" spans="1:10" ht="20.25" customHeight="1" x14ac:dyDescent="0.25">
      <c r="A6" s="449" t="s">
        <v>402</v>
      </c>
      <c r="D6" s="531" t="str">
        <f>Ввод!B8</f>
        <v>г. Санкт-Петербург, Ланское шоссе, дом 12, корпус 2, кв. 18</v>
      </c>
      <c r="E6" s="532"/>
      <c r="F6" s="532"/>
      <c r="G6" s="532"/>
      <c r="H6" s="532"/>
      <c r="I6" s="532"/>
      <c r="J6" s="532"/>
    </row>
    <row r="7" spans="1:10" ht="20.25" customHeight="1" x14ac:dyDescent="0.25">
      <c r="B7" s="450"/>
      <c r="C7" s="450"/>
      <c r="D7" s="532"/>
      <c r="E7" s="532"/>
      <c r="F7" s="532"/>
      <c r="G7" s="532"/>
      <c r="H7" s="532"/>
      <c r="I7" s="532"/>
      <c r="J7" s="532"/>
    </row>
    <row r="8" spans="1:10" ht="20.25" customHeight="1" x14ac:dyDescent="0.25">
      <c r="A8" s="449" t="s">
        <v>403</v>
      </c>
      <c r="D8" s="532" t="s">
        <v>404</v>
      </c>
      <c r="E8" s="532"/>
      <c r="F8" s="532"/>
      <c r="G8" s="532"/>
      <c r="H8" s="532"/>
      <c r="I8" s="532"/>
      <c r="J8" s="532"/>
    </row>
    <row r="9" spans="1:10" ht="20.25" customHeight="1" x14ac:dyDescent="0.25">
      <c r="D9" s="532"/>
      <c r="E9" s="532"/>
      <c r="F9" s="532"/>
      <c r="G9" s="532"/>
      <c r="H9" s="532"/>
      <c r="I9" s="532"/>
      <c r="J9" s="532"/>
    </row>
    <row r="10" spans="1:10" ht="20.25" customHeight="1" x14ac:dyDescent="0.25">
      <c r="A10" s="449" t="s">
        <v>405</v>
      </c>
      <c r="D10" s="533" t="s">
        <v>406</v>
      </c>
      <c r="E10" s="533"/>
      <c r="F10" s="533"/>
      <c r="G10" s="533"/>
      <c r="H10" s="533"/>
      <c r="I10" s="533"/>
      <c r="J10" s="533"/>
    </row>
    <row r="11" spans="1:10" ht="56.25" customHeight="1" x14ac:dyDescent="0.25">
      <c r="D11" s="533"/>
      <c r="E11" s="533"/>
      <c r="F11" s="533"/>
      <c r="G11" s="533"/>
      <c r="H11" s="533"/>
      <c r="I11" s="533"/>
      <c r="J11" s="533"/>
    </row>
    <row r="12" spans="1:10" ht="20.25" customHeight="1" x14ac:dyDescent="0.25">
      <c r="A12" s="448" t="s">
        <v>407</v>
      </c>
      <c r="D12" s="532" t="s">
        <v>408</v>
      </c>
      <c r="E12" s="532"/>
      <c r="F12" s="532"/>
      <c r="G12" s="532"/>
      <c r="H12" s="532"/>
      <c r="I12" s="532"/>
      <c r="J12" s="532"/>
    </row>
    <row r="13" spans="1:10" ht="20.25" customHeight="1" x14ac:dyDescent="0.25">
      <c r="A13" s="448" t="s">
        <v>409</v>
      </c>
      <c r="D13" s="532" t="s">
        <v>410</v>
      </c>
      <c r="E13" s="532"/>
      <c r="F13" s="532"/>
      <c r="G13" s="532"/>
      <c r="H13" s="532"/>
      <c r="I13" s="532"/>
      <c r="J13" s="532"/>
    </row>
    <row r="14" spans="1:10" ht="9" customHeight="1" x14ac:dyDescent="0.25">
      <c r="D14" s="451"/>
      <c r="E14" s="451"/>
      <c r="F14" s="451"/>
      <c r="G14" s="451"/>
      <c r="H14" s="451"/>
      <c r="I14" s="451"/>
      <c r="J14" s="451"/>
    </row>
    <row r="15" spans="1:10" ht="20.25" customHeight="1" x14ac:dyDescent="0.25">
      <c r="A15" s="449" t="s">
        <v>411</v>
      </c>
      <c r="D15" s="531" t="str">
        <f>Ввод!B46</f>
        <v>Агрест Анна Иосифовна доля в праве 1/2, Сожин Марк Григорьевич доля в праве 1/2</v>
      </c>
      <c r="E15" s="532"/>
      <c r="F15" s="532"/>
      <c r="G15" s="532"/>
      <c r="H15" s="532"/>
      <c r="I15" s="532"/>
      <c r="J15" s="532"/>
    </row>
    <row r="16" spans="1:10" ht="20.25" customHeight="1" x14ac:dyDescent="0.25">
      <c r="C16" s="452"/>
      <c r="D16" s="532"/>
      <c r="E16" s="532"/>
      <c r="F16" s="532"/>
      <c r="G16" s="532"/>
      <c r="H16" s="532"/>
      <c r="I16" s="532"/>
      <c r="J16" s="532"/>
    </row>
    <row r="17" spans="1:12" ht="20.25" customHeight="1" x14ac:dyDescent="0.25">
      <c r="A17" s="448" t="s">
        <v>412</v>
      </c>
      <c r="D17" s="531" t="str">
        <f>Ввод!B13</f>
        <v>для предоставления отчета в банк с целью принятия управленческого решения.</v>
      </c>
      <c r="E17" s="532"/>
      <c r="F17" s="532"/>
      <c r="G17" s="532"/>
      <c r="H17" s="532"/>
      <c r="I17" s="532"/>
      <c r="J17" s="532"/>
    </row>
    <row r="18" spans="1:12" ht="20.25" customHeight="1" x14ac:dyDescent="0.25">
      <c r="D18" s="532"/>
      <c r="E18" s="532"/>
      <c r="F18" s="532"/>
      <c r="G18" s="532"/>
      <c r="H18" s="532"/>
      <c r="I18" s="532"/>
      <c r="J18" s="532"/>
    </row>
    <row r="19" spans="1:12" ht="20.25" customHeight="1" x14ac:dyDescent="0.25">
      <c r="A19" s="448" t="s">
        <v>413</v>
      </c>
      <c r="D19" s="532" t="s">
        <v>414</v>
      </c>
      <c r="E19" s="532"/>
      <c r="F19" s="532"/>
      <c r="G19" s="532"/>
      <c r="H19" s="532"/>
      <c r="I19" s="532"/>
      <c r="J19" s="532"/>
    </row>
    <row r="20" spans="1:12" ht="30" customHeight="1" x14ac:dyDescent="0.25">
      <c r="A20" s="522" t="s">
        <v>415</v>
      </c>
      <c r="B20" s="522"/>
      <c r="C20" s="522"/>
      <c r="D20" s="453">
        <f>K20</f>
        <v>1</v>
      </c>
      <c r="E20" s="454" t="str">
        <f>IF(K20&lt;2,"день",IF(K20&lt;5,"дня",IF(K20&lt;21,"дней","дней")))</f>
        <v>день</v>
      </c>
      <c r="F20" s="534" t="s">
        <v>416</v>
      </c>
      <c r="G20" s="534"/>
      <c r="H20" s="534"/>
      <c r="I20" s="534"/>
      <c r="J20" s="534"/>
      <c r="K20" s="455">
        <f>Ввод!B6-Ввод!B5</f>
        <v>1</v>
      </c>
      <c r="L20" s="448" t="str">
        <f>CONCATENATE(D20," ",E20," ",F20)</f>
        <v>1 день с даты осмотра</v>
      </c>
    </row>
    <row r="21" spans="1:12" ht="20.25" customHeight="1" x14ac:dyDescent="0.25">
      <c r="A21" s="522" t="s">
        <v>417</v>
      </c>
      <c r="B21" s="522"/>
      <c r="C21" s="522"/>
      <c r="D21" s="528" t="str">
        <f>Ввод!B14</f>
        <v>технический паспорт на квартиру № 3115/14 от 15.09.2014г., форма 7 от 26.09.2014г., свидетельство о государственной регистрации права серия 78-ВЛ № 714926 от 24.04.2003г., серия 78-АА № 494205 от 27.10.2005г., кадастровый паспорт № 78/201/14-242804 от 16.09.2014г.</v>
      </c>
      <c r="E21" s="529"/>
      <c r="F21" s="529"/>
      <c r="G21" s="529"/>
      <c r="H21" s="529"/>
      <c r="I21" s="529"/>
      <c r="J21" s="529"/>
    </row>
    <row r="22" spans="1:12" ht="20.25" customHeight="1" x14ac:dyDescent="0.25">
      <c r="A22" s="522"/>
      <c r="B22" s="522"/>
      <c r="C22" s="522"/>
      <c r="D22" s="529"/>
      <c r="E22" s="529"/>
      <c r="F22" s="529"/>
      <c r="G22" s="529"/>
      <c r="H22" s="529"/>
      <c r="I22" s="529"/>
      <c r="J22" s="529"/>
    </row>
    <row r="23" spans="1:12" ht="20.25" customHeight="1" x14ac:dyDescent="0.25">
      <c r="A23" s="522"/>
      <c r="B23" s="522"/>
      <c r="C23" s="522"/>
      <c r="D23" s="529"/>
      <c r="E23" s="529"/>
      <c r="F23" s="529"/>
      <c r="G23" s="529"/>
      <c r="H23" s="529"/>
      <c r="I23" s="529"/>
      <c r="J23" s="529"/>
    </row>
    <row r="24" spans="1:12" ht="20.25" customHeight="1" x14ac:dyDescent="0.25">
      <c r="A24" s="522"/>
      <c r="B24" s="522"/>
      <c r="C24" s="522"/>
      <c r="D24" s="529"/>
      <c r="E24" s="529"/>
      <c r="F24" s="529"/>
      <c r="G24" s="529"/>
      <c r="H24" s="529"/>
      <c r="I24" s="529"/>
      <c r="J24" s="529"/>
    </row>
    <row r="25" spans="1:12" ht="20.25" customHeight="1" x14ac:dyDescent="0.25">
      <c r="A25" s="522" t="s">
        <v>418</v>
      </c>
      <c r="B25" s="522"/>
      <c r="C25" s="522"/>
      <c r="D25" s="523" t="s">
        <v>419</v>
      </c>
      <c r="E25" s="523"/>
      <c r="F25" s="523"/>
      <c r="G25" s="523"/>
      <c r="H25" s="523"/>
      <c r="I25" s="523"/>
      <c r="J25" s="523"/>
    </row>
    <row r="26" spans="1:12" ht="79.5" customHeight="1" x14ac:dyDescent="0.25">
      <c r="A26" s="522"/>
      <c r="B26" s="522"/>
      <c r="C26" s="522"/>
      <c r="D26" s="523"/>
      <c r="E26" s="523"/>
      <c r="F26" s="523"/>
      <c r="G26" s="523"/>
      <c r="H26" s="523"/>
      <c r="I26" s="523"/>
      <c r="J26" s="523"/>
    </row>
    <row r="27" spans="1:12" ht="20.25" customHeight="1" x14ac:dyDescent="0.25">
      <c r="A27" s="448" t="s">
        <v>420</v>
      </c>
      <c r="D27" s="523" t="s">
        <v>421</v>
      </c>
      <c r="E27" s="523"/>
      <c r="F27" s="523"/>
      <c r="G27" s="523"/>
      <c r="H27" s="523"/>
      <c r="I27" s="523"/>
      <c r="J27" s="523"/>
    </row>
    <row r="28" spans="1:12" ht="20.25" customHeight="1" x14ac:dyDescent="0.25"/>
    <row r="31" spans="1:12" x14ac:dyDescent="0.25">
      <c r="B31" s="524">
        <f>Ввод!B4</f>
        <v>43007</v>
      </c>
      <c r="C31" s="524"/>
      <c r="D31" s="524"/>
      <c r="E31" s="456"/>
      <c r="F31" s="525" t="s">
        <v>422</v>
      </c>
      <c r="G31" s="525"/>
      <c r="H31" s="526" t="str">
        <f>Ввод!B9</f>
        <v xml:space="preserve">Шичкина Ю.А. </v>
      </c>
      <c r="I31" s="527"/>
      <c r="J31" s="527"/>
      <c r="K31" s="456"/>
      <c r="L31" s="456"/>
    </row>
    <row r="32" spans="1:12" x14ac:dyDescent="0.25">
      <c r="B32" s="521" t="s">
        <v>423</v>
      </c>
      <c r="C32" s="521"/>
      <c r="D32" s="521"/>
      <c r="H32" s="521" t="s">
        <v>424</v>
      </c>
      <c r="I32" s="521"/>
      <c r="J32" s="521"/>
    </row>
    <row r="34" spans="11:11" x14ac:dyDescent="0.25">
      <c r="K34" s="457"/>
    </row>
  </sheetData>
  <mergeCells count="27">
    <mergeCell ref="A4:J4"/>
    <mergeCell ref="F1:G1"/>
    <mergeCell ref="H1:J1"/>
    <mergeCell ref="F2:G2"/>
    <mergeCell ref="H2:J2"/>
    <mergeCell ref="A3:J3"/>
    <mergeCell ref="A21:C24"/>
    <mergeCell ref="D21:J24"/>
    <mergeCell ref="A5:J5"/>
    <mergeCell ref="D6:J7"/>
    <mergeCell ref="D8:J9"/>
    <mergeCell ref="D10:J11"/>
    <mergeCell ref="D12:J12"/>
    <mergeCell ref="D13:J13"/>
    <mergeCell ref="D15:J16"/>
    <mergeCell ref="D17:J18"/>
    <mergeCell ref="D19:J19"/>
    <mergeCell ref="A20:C20"/>
    <mergeCell ref="F20:J20"/>
    <mergeCell ref="B32:D32"/>
    <mergeCell ref="H32:J32"/>
    <mergeCell ref="A25:C26"/>
    <mergeCell ref="D25:J26"/>
    <mergeCell ref="D27:J27"/>
    <mergeCell ref="B31:D31"/>
    <mergeCell ref="F31:G31"/>
    <mergeCell ref="H31:J31"/>
  </mergeCells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C00000"/>
  </sheetPr>
  <dimension ref="A1:AH205"/>
  <sheetViews>
    <sheetView showGridLines="0" topLeftCell="A175" zoomScaleNormal="100" workbookViewId="0">
      <selection activeCell="V215" sqref="V215"/>
    </sheetView>
  </sheetViews>
  <sheetFormatPr defaultRowHeight="12.75" x14ac:dyDescent="0.2"/>
  <cols>
    <col min="1" max="2" width="2.7109375" style="390" customWidth="1"/>
    <col min="3" max="3" width="3.28515625" style="390" customWidth="1"/>
    <col min="4" max="8" width="2.7109375" style="390" customWidth="1"/>
    <col min="9" max="9" width="2.28515625" style="390" customWidth="1"/>
    <col min="10" max="10" width="4.42578125" style="390" customWidth="1"/>
    <col min="11" max="11" width="2.7109375" style="390" customWidth="1"/>
    <col min="12" max="12" width="2.5703125" style="390" customWidth="1"/>
    <col min="13" max="18" width="2.7109375" style="390" customWidth="1"/>
    <col min="19" max="19" width="4.140625" style="390" customWidth="1"/>
    <col min="20" max="22" width="2.7109375" style="390" customWidth="1"/>
    <col min="23" max="23" width="3.85546875" style="390" customWidth="1"/>
    <col min="24" max="28" width="2.7109375" style="390" customWidth="1"/>
    <col min="29" max="29" width="3.28515625" style="390" customWidth="1"/>
    <col min="30" max="30" width="4.28515625" style="390" customWidth="1"/>
    <col min="31" max="31" width="2.85546875" style="390" customWidth="1"/>
    <col min="32" max="32" width="9.85546875" style="390" customWidth="1"/>
    <col min="33" max="33" width="12.28515625" style="390" customWidth="1"/>
    <col min="34" max="16384" width="9.140625" style="390"/>
  </cols>
  <sheetData>
    <row r="1" spans="1:32" ht="27.75" customHeight="1" x14ac:dyDescent="0.25">
      <c r="B1" s="391"/>
      <c r="C1" s="391"/>
      <c r="D1" s="391"/>
      <c r="E1" s="391"/>
      <c r="G1" s="392"/>
      <c r="H1" s="392"/>
      <c r="I1" s="694" t="s">
        <v>265</v>
      </c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4"/>
      <c r="Z1" s="694"/>
      <c r="AA1" s="694"/>
      <c r="AB1" s="694"/>
      <c r="AC1" s="392"/>
      <c r="AD1" s="391"/>
      <c r="AE1" s="391"/>
      <c r="AF1" s="393"/>
    </row>
    <row r="2" spans="1:32" ht="27.75" customHeight="1" x14ac:dyDescent="0.25">
      <c r="A2" s="394"/>
      <c r="B2" s="391"/>
      <c r="C2" s="391"/>
      <c r="D2" s="391"/>
      <c r="E2" s="391"/>
      <c r="F2" s="392"/>
      <c r="G2" s="392"/>
      <c r="H2" s="392"/>
      <c r="I2" s="695" t="s">
        <v>266</v>
      </c>
      <c r="J2" s="695"/>
      <c r="K2" s="695"/>
      <c r="L2" s="695"/>
      <c r="M2" s="695"/>
      <c r="N2" s="695"/>
      <c r="O2" s="695"/>
      <c r="P2" s="695"/>
      <c r="Q2" s="695"/>
      <c r="R2" s="696" t="str">
        <f>Ввод!C3</f>
        <v>квартира</v>
      </c>
      <c r="S2" s="696"/>
      <c r="T2" s="696"/>
      <c r="U2" s="696"/>
      <c r="V2" s="696"/>
      <c r="W2" s="696"/>
      <c r="X2" s="696"/>
      <c r="Y2" s="696"/>
      <c r="Z2" s="696"/>
      <c r="AA2" s="696"/>
      <c r="AB2" s="696"/>
      <c r="AC2" s="696"/>
      <c r="AD2" s="696"/>
      <c r="AE2" s="696"/>
    </row>
    <row r="3" spans="1:32" ht="20.25" customHeight="1" x14ac:dyDescent="0.25">
      <c r="A3" s="390" t="s">
        <v>267</v>
      </c>
      <c r="C3" s="697">
        <f>Ввод!B5</f>
        <v>43007</v>
      </c>
      <c r="D3" s="697"/>
      <c r="E3" s="697"/>
      <c r="F3" s="697"/>
      <c r="G3" s="697"/>
      <c r="H3" s="697"/>
      <c r="I3" s="697"/>
      <c r="J3" s="697"/>
      <c r="K3" s="697"/>
      <c r="L3" s="697"/>
      <c r="M3" s="698" t="s">
        <v>268</v>
      </c>
      <c r="N3" s="698"/>
      <c r="O3" s="698"/>
      <c r="P3" s="698"/>
      <c r="Q3" s="698"/>
      <c r="R3" s="698"/>
      <c r="S3" s="698"/>
      <c r="T3" s="698"/>
      <c r="U3" s="698"/>
      <c r="V3" s="699" t="str">
        <f>Ввод!B3</f>
        <v>3/29/09/17</v>
      </c>
      <c r="W3" s="699"/>
      <c r="X3" s="699"/>
      <c r="Y3" s="699"/>
      <c r="Z3" s="699"/>
      <c r="AA3" s="699"/>
      <c r="AB3" s="699"/>
      <c r="AC3" s="699"/>
      <c r="AD3" s="699"/>
      <c r="AE3" s="699"/>
    </row>
    <row r="4" spans="1:32" ht="6" customHeight="1" x14ac:dyDescent="0.2"/>
    <row r="5" spans="1:32" ht="30" customHeight="1" x14ac:dyDescent="0.2">
      <c r="A5" s="395" t="s">
        <v>269</v>
      </c>
      <c r="F5" s="691" t="str">
        <f>Ввод!B8</f>
        <v>г. Санкт-Петербург, Ланское шоссе, дом 12, корпус 2, кв. 18</v>
      </c>
      <c r="G5" s="692"/>
      <c r="H5" s="692"/>
      <c r="I5" s="692"/>
      <c r="J5" s="692"/>
      <c r="K5" s="692"/>
      <c r="L5" s="692"/>
      <c r="M5" s="692"/>
      <c r="N5" s="692"/>
      <c r="O5" s="692"/>
      <c r="P5" s="692"/>
      <c r="Q5" s="692"/>
      <c r="R5" s="692"/>
      <c r="S5" s="692"/>
      <c r="T5" s="692"/>
      <c r="U5" s="692"/>
      <c r="V5" s="692"/>
      <c r="W5" s="692"/>
      <c r="X5" s="692"/>
      <c r="Y5" s="692"/>
      <c r="Z5" s="692"/>
      <c r="AA5" s="692"/>
      <c r="AB5" s="692"/>
      <c r="AC5" s="692"/>
      <c r="AD5" s="692"/>
      <c r="AE5" s="693"/>
    </row>
    <row r="6" spans="1:32" ht="6" customHeight="1" x14ac:dyDescent="0.2"/>
    <row r="7" spans="1:32" ht="4.5" customHeight="1" x14ac:dyDescent="0.2">
      <c r="A7" s="552"/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552"/>
      <c r="W7" s="552"/>
      <c r="X7" s="552"/>
      <c r="Y7" s="552"/>
      <c r="Z7" s="552"/>
      <c r="AA7" s="552"/>
      <c r="AB7" s="552"/>
      <c r="AC7" s="552"/>
      <c r="AD7" s="552"/>
      <c r="AE7" s="552"/>
    </row>
    <row r="8" spans="1:32" x14ac:dyDescent="0.2">
      <c r="A8" s="396" t="s">
        <v>270</v>
      </c>
    </row>
    <row r="9" spans="1:32" ht="6" customHeight="1" x14ac:dyDescent="0.2"/>
    <row r="10" spans="1:32" s="398" customFormat="1" ht="22.5" customHeight="1" x14ac:dyDescent="0.2">
      <c r="A10" s="397" t="s">
        <v>271</v>
      </c>
      <c r="G10" s="399"/>
      <c r="H10" s="399"/>
      <c r="I10" s="399"/>
      <c r="J10" s="631" t="s">
        <v>272</v>
      </c>
      <c r="K10" s="689"/>
      <c r="L10" s="690"/>
      <c r="M10" s="397" t="s">
        <v>273</v>
      </c>
      <c r="N10" s="399"/>
      <c r="O10" s="399"/>
      <c r="T10" s="631" t="s">
        <v>274</v>
      </c>
      <c r="U10" s="689"/>
      <c r="V10" s="690"/>
      <c r="W10" s="397" t="s">
        <v>275</v>
      </c>
      <c r="AD10" s="631" t="s">
        <v>274</v>
      </c>
      <c r="AE10" s="690"/>
    </row>
    <row r="11" spans="1:32" ht="3.75" customHeight="1" x14ac:dyDescent="0.2">
      <c r="A11" s="400"/>
      <c r="G11" s="401"/>
      <c r="H11" s="401"/>
      <c r="I11" s="401"/>
      <c r="J11" s="401"/>
      <c r="K11" s="401"/>
      <c r="L11" s="401"/>
      <c r="M11" s="401"/>
      <c r="N11" s="401"/>
      <c r="O11" s="401"/>
      <c r="P11" s="402"/>
      <c r="Q11" s="402"/>
      <c r="R11" s="402"/>
      <c r="S11" s="402"/>
      <c r="T11" s="402"/>
      <c r="U11" s="402"/>
      <c r="V11" s="402"/>
      <c r="W11" s="402"/>
      <c r="X11" s="402"/>
    </row>
    <row r="12" spans="1:32" s="398" customFormat="1" ht="22.5" customHeight="1" x14ac:dyDescent="0.2">
      <c r="A12" s="397" t="s">
        <v>276</v>
      </c>
      <c r="J12" s="631">
        <f>'Таблицы расч'!B22</f>
        <v>3</v>
      </c>
      <c r="K12" s="689"/>
      <c r="L12" s="690"/>
      <c r="M12" s="397" t="s">
        <v>277</v>
      </c>
      <c r="T12" s="631" t="str">
        <f>Ввод!B45</f>
        <v>5</v>
      </c>
      <c r="U12" s="689"/>
      <c r="V12" s="690"/>
      <c r="W12" s="397" t="s">
        <v>278</v>
      </c>
      <c r="Y12" s="403"/>
      <c r="Z12" s="403"/>
      <c r="AC12" s="404"/>
      <c r="AD12" s="631" t="str">
        <f>Ввод!B25</f>
        <v>2,51</v>
      </c>
      <c r="AE12" s="690"/>
    </row>
    <row r="13" spans="1:32" ht="4.5" customHeight="1" x14ac:dyDescent="0.2">
      <c r="A13" s="400"/>
      <c r="G13" s="401"/>
      <c r="H13" s="401"/>
      <c r="I13" s="401"/>
      <c r="J13" s="401"/>
      <c r="K13" s="401"/>
      <c r="L13" s="401"/>
      <c r="M13" s="401"/>
      <c r="N13" s="401"/>
      <c r="O13" s="401"/>
      <c r="P13" s="402"/>
      <c r="Q13" s="402"/>
      <c r="R13" s="402"/>
      <c r="S13" s="402"/>
      <c r="T13" s="402"/>
      <c r="U13" s="402"/>
      <c r="V13" s="402"/>
      <c r="W13" s="402"/>
      <c r="X13" s="402"/>
    </row>
    <row r="14" spans="1:32" hidden="1" x14ac:dyDescent="0.2">
      <c r="A14" s="400"/>
      <c r="G14" s="401"/>
      <c r="H14" s="401"/>
      <c r="I14" s="401"/>
      <c r="J14" s="401"/>
      <c r="K14" s="401"/>
      <c r="L14" s="401"/>
      <c r="M14" s="401"/>
      <c r="N14" s="401"/>
      <c r="O14" s="401"/>
      <c r="P14" s="402"/>
      <c r="Q14" s="402"/>
      <c r="R14" s="402"/>
      <c r="S14" s="402"/>
      <c r="T14" s="402"/>
      <c r="U14" s="402"/>
      <c r="V14" s="402"/>
      <c r="W14" s="402"/>
      <c r="X14" s="402"/>
    </row>
    <row r="15" spans="1:32" ht="6" hidden="1" customHeight="1" x14ac:dyDescent="0.2"/>
    <row r="16" spans="1:32" s="398" customFormat="1" ht="22.5" customHeight="1" x14ac:dyDescent="0.2">
      <c r="A16" s="397" t="s">
        <v>279</v>
      </c>
      <c r="J16" s="631">
        <f>'Таблицы расч'!B4</f>
        <v>57.4</v>
      </c>
      <c r="K16" s="689"/>
      <c r="L16" s="690"/>
      <c r="M16" s="397" t="s">
        <v>280</v>
      </c>
      <c r="T16" s="631" t="str">
        <f>Ввод!B28</f>
        <v>26,9</v>
      </c>
      <c r="U16" s="689"/>
      <c r="V16" s="690"/>
      <c r="W16" s="397" t="s">
        <v>281</v>
      </c>
      <c r="Y16" s="403"/>
      <c r="Z16" s="403"/>
      <c r="AC16" s="404"/>
      <c r="AD16" s="631">
        <f>'Таблицы расч'!B25</f>
        <v>6.2</v>
      </c>
      <c r="AE16" s="690"/>
    </row>
    <row r="17" spans="1:33" ht="5.25" customHeight="1" x14ac:dyDescent="0.2"/>
    <row r="18" spans="1:33" ht="6.75" hidden="1" customHeight="1" x14ac:dyDescent="0.2"/>
    <row r="19" spans="1:33" s="398" customFormat="1" ht="22.5" customHeight="1" x14ac:dyDescent="0.2">
      <c r="A19" s="397" t="s">
        <v>282</v>
      </c>
      <c r="F19" s="405"/>
      <c r="H19" s="406"/>
      <c r="I19" s="406"/>
      <c r="J19" s="631" t="str">
        <f>'Таблицы расч'!B24</f>
        <v>2 лоджии</v>
      </c>
      <c r="K19" s="689"/>
      <c r="L19" s="690"/>
      <c r="M19" s="397" t="s">
        <v>283</v>
      </c>
      <c r="T19" s="631" t="str">
        <f>Ввод!B43</f>
        <v>нет</v>
      </c>
      <c r="U19" s="689"/>
      <c r="V19" s="690"/>
      <c r="W19" s="397" t="s">
        <v>284</v>
      </c>
      <c r="AC19" s="631" t="str">
        <f>'Таблицы расч'!B24</f>
        <v>2 лоджии</v>
      </c>
      <c r="AD19" s="689"/>
      <c r="AE19" s="690"/>
    </row>
    <row r="20" spans="1:33" ht="4.5" customHeight="1" x14ac:dyDescent="0.2">
      <c r="K20" s="407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  <c r="AA20" s="402"/>
      <c r="AB20" s="402"/>
      <c r="AC20" s="402"/>
      <c r="AD20" s="402"/>
      <c r="AE20" s="402"/>
    </row>
    <row r="21" spans="1:33" ht="6" customHeight="1" x14ac:dyDescent="0.2">
      <c r="A21" s="408"/>
      <c r="B21" s="409"/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409"/>
      <c r="O21" s="409"/>
      <c r="P21" s="409"/>
      <c r="Q21" s="409"/>
      <c r="R21" s="409"/>
      <c r="S21" s="409"/>
      <c r="T21" s="409"/>
      <c r="U21" s="409"/>
      <c r="V21" s="409"/>
      <c r="W21" s="409"/>
      <c r="X21" s="409"/>
      <c r="Y21" s="409"/>
      <c r="Z21" s="409"/>
      <c r="AA21" s="409"/>
      <c r="AB21" s="409"/>
      <c r="AC21" s="409"/>
      <c r="AD21" s="409"/>
      <c r="AE21" s="410"/>
    </row>
    <row r="22" spans="1:33" ht="12.75" customHeight="1" x14ac:dyDescent="0.2">
      <c r="A22" s="591" t="s">
        <v>285</v>
      </c>
      <c r="B22" s="592"/>
      <c r="C22" s="592"/>
      <c r="D22" s="592"/>
      <c r="E22" s="592"/>
      <c r="F22" s="592"/>
      <c r="G22" s="592"/>
      <c r="H22" s="592"/>
      <c r="I22" s="680" t="str">
        <f>Ввод!B27</f>
        <v>водопровод, канализация, электричество, центральное отопление, центральное горячее водоснабжение, газоснабжение</v>
      </c>
      <c r="J22" s="681"/>
      <c r="K22" s="681"/>
      <c r="L22" s="681"/>
      <c r="M22" s="681"/>
      <c r="N22" s="681"/>
      <c r="O22" s="681"/>
      <c r="P22" s="681"/>
      <c r="Q22" s="681"/>
      <c r="R22" s="681"/>
      <c r="S22" s="681"/>
      <c r="T22" s="681"/>
      <c r="U22" s="681"/>
      <c r="V22" s="681"/>
      <c r="W22" s="681"/>
      <c r="X22" s="681"/>
      <c r="Y22" s="681"/>
      <c r="Z22" s="681"/>
      <c r="AA22" s="681"/>
      <c r="AB22" s="681"/>
      <c r="AC22" s="682"/>
      <c r="AE22" s="411"/>
    </row>
    <row r="23" spans="1:33" ht="6" customHeight="1" x14ac:dyDescent="0.2">
      <c r="A23" s="591"/>
      <c r="B23" s="592"/>
      <c r="C23" s="592"/>
      <c r="D23" s="592"/>
      <c r="E23" s="592"/>
      <c r="F23" s="592"/>
      <c r="G23" s="592"/>
      <c r="H23" s="592"/>
      <c r="I23" s="683"/>
      <c r="J23" s="684"/>
      <c r="K23" s="684"/>
      <c r="L23" s="684"/>
      <c r="M23" s="684"/>
      <c r="N23" s="684"/>
      <c r="O23" s="684"/>
      <c r="P23" s="684"/>
      <c r="Q23" s="684"/>
      <c r="R23" s="684"/>
      <c r="S23" s="684"/>
      <c r="T23" s="684"/>
      <c r="U23" s="684"/>
      <c r="V23" s="684"/>
      <c r="W23" s="684"/>
      <c r="X23" s="684"/>
      <c r="Y23" s="684"/>
      <c r="Z23" s="684"/>
      <c r="AA23" s="684"/>
      <c r="AB23" s="684"/>
      <c r="AC23" s="685"/>
      <c r="AE23" s="411"/>
    </row>
    <row r="24" spans="1:33" ht="15" customHeight="1" x14ac:dyDescent="0.2">
      <c r="A24" s="591"/>
      <c r="B24" s="592"/>
      <c r="C24" s="592"/>
      <c r="D24" s="592"/>
      <c r="E24" s="592"/>
      <c r="F24" s="592"/>
      <c r="G24" s="592"/>
      <c r="H24" s="592"/>
      <c r="I24" s="683"/>
      <c r="J24" s="684"/>
      <c r="K24" s="684"/>
      <c r="L24" s="684"/>
      <c r="M24" s="684"/>
      <c r="N24" s="684"/>
      <c r="O24" s="684"/>
      <c r="P24" s="684"/>
      <c r="Q24" s="684"/>
      <c r="R24" s="684"/>
      <c r="S24" s="684"/>
      <c r="T24" s="684"/>
      <c r="U24" s="684"/>
      <c r="V24" s="684"/>
      <c r="W24" s="684"/>
      <c r="X24" s="684"/>
      <c r="Y24" s="684"/>
      <c r="Z24" s="684"/>
      <c r="AA24" s="684"/>
      <c r="AB24" s="684"/>
      <c r="AC24" s="685"/>
      <c r="AE24" s="411"/>
    </row>
    <row r="25" spans="1:33" ht="6" customHeight="1" x14ac:dyDescent="0.2">
      <c r="A25" s="591"/>
      <c r="B25" s="592"/>
      <c r="C25" s="592"/>
      <c r="D25" s="592"/>
      <c r="E25" s="592"/>
      <c r="F25" s="592"/>
      <c r="G25" s="592"/>
      <c r="H25" s="592"/>
      <c r="I25" s="683"/>
      <c r="J25" s="684"/>
      <c r="K25" s="684"/>
      <c r="L25" s="684"/>
      <c r="M25" s="684"/>
      <c r="N25" s="684"/>
      <c r="O25" s="684"/>
      <c r="P25" s="684"/>
      <c r="Q25" s="684"/>
      <c r="R25" s="684"/>
      <c r="S25" s="684"/>
      <c r="T25" s="684"/>
      <c r="U25" s="684"/>
      <c r="V25" s="684"/>
      <c r="W25" s="684"/>
      <c r="X25" s="684"/>
      <c r="Y25" s="684"/>
      <c r="Z25" s="684"/>
      <c r="AA25" s="684"/>
      <c r="AB25" s="684"/>
      <c r="AC25" s="685"/>
      <c r="AE25" s="411"/>
    </row>
    <row r="26" spans="1:33" ht="15" customHeight="1" x14ac:dyDescent="0.2">
      <c r="A26" s="591"/>
      <c r="B26" s="592"/>
      <c r="C26" s="592"/>
      <c r="D26" s="592"/>
      <c r="E26" s="592"/>
      <c r="F26" s="592"/>
      <c r="G26" s="592"/>
      <c r="H26" s="592"/>
      <c r="I26" s="686"/>
      <c r="J26" s="687"/>
      <c r="K26" s="687"/>
      <c r="L26" s="687"/>
      <c r="M26" s="687"/>
      <c r="N26" s="687"/>
      <c r="O26" s="687"/>
      <c r="P26" s="687"/>
      <c r="Q26" s="687"/>
      <c r="R26" s="687"/>
      <c r="S26" s="687"/>
      <c r="T26" s="687"/>
      <c r="U26" s="687"/>
      <c r="V26" s="687"/>
      <c r="W26" s="687"/>
      <c r="X26" s="687"/>
      <c r="Y26" s="687"/>
      <c r="Z26" s="687"/>
      <c r="AA26" s="687"/>
      <c r="AB26" s="687"/>
      <c r="AC26" s="688"/>
      <c r="AE26" s="411"/>
    </row>
    <row r="27" spans="1:33" ht="6" customHeight="1" x14ac:dyDescent="0.2">
      <c r="A27" s="412"/>
      <c r="B27" s="413"/>
      <c r="C27" s="413"/>
      <c r="D27" s="413"/>
      <c r="E27" s="413"/>
      <c r="F27" s="413"/>
      <c r="G27" s="413"/>
      <c r="H27" s="413"/>
      <c r="I27" s="413"/>
      <c r="J27" s="414"/>
      <c r="K27" s="414"/>
      <c r="L27" s="414"/>
      <c r="M27" s="414"/>
      <c r="N27" s="414"/>
      <c r="O27" s="414"/>
      <c r="P27" s="413"/>
      <c r="Q27" s="413"/>
      <c r="R27" s="413"/>
      <c r="S27" s="413"/>
      <c r="T27" s="413"/>
      <c r="U27" s="413"/>
      <c r="V27" s="413"/>
      <c r="W27" s="413"/>
      <c r="X27" s="413"/>
      <c r="Y27" s="413"/>
      <c r="Z27" s="413"/>
      <c r="AA27" s="413"/>
      <c r="AB27" s="413"/>
      <c r="AC27" s="413"/>
      <c r="AD27" s="413"/>
      <c r="AE27" s="415"/>
    </row>
    <row r="28" spans="1:33" ht="6" customHeight="1" x14ac:dyDescent="0.2"/>
    <row r="29" spans="1:33" ht="15.75" customHeight="1" x14ac:dyDescent="0.25">
      <c r="A29" s="400" t="s">
        <v>286</v>
      </c>
      <c r="B29" s="416"/>
      <c r="C29" s="416"/>
      <c r="D29" s="416"/>
      <c r="E29" s="416"/>
      <c r="F29" s="416"/>
      <c r="G29" s="416"/>
      <c r="M29" s="675" t="str">
        <f>Ввод!B21</f>
        <v>на улицу</v>
      </c>
      <c r="N29" s="676"/>
      <c r="O29" s="676"/>
      <c r="P29" s="676"/>
      <c r="Q29" s="676"/>
      <c r="R29" s="676"/>
      <c r="S29" s="676"/>
      <c r="T29" s="676"/>
      <c r="U29" s="676"/>
      <c r="V29" s="676"/>
      <c r="W29" s="676"/>
      <c r="X29" s="676"/>
      <c r="Y29" s="676"/>
      <c r="Z29" s="676"/>
      <c r="AA29" s="676"/>
      <c r="AB29" s="676"/>
      <c r="AC29" s="676"/>
      <c r="AD29" s="677"/>
    </row>
    <row r="30" spans="1:33" ht="6" customHeight="1" x14ac:dyDescent="0.2"/>
    <row r="31" spans="1:33" ht="15.75" customHeight="1" x14ac:dyDescent="0.2">
      <c r="A31" s="400" t="s">
        <v>287</v>
      </c>
      <c r="L31" s="402"/>
      <c r="P31" s="417"/>
      <c r="Q31" s="402" t="s">
        <v>288</v>
      </c>
      <c r="V31" s="418"/>
      <c r="W31" s="390" t="s">
        <v>289</v>
      </c>
      <c r="AF31" s="419" t="s">
        <v>290</v>
      </c>
      <c r="AG31" s="420">
        <f>VALUE(Ввод!B44)</f>
        <v>5</v>
      </c>
    </row>
    <row r="32" spans="1:33" ht="5.25" customHeight="1" x14ac:dyDescent="0.2"/>
    <row r="33" spans="1:31" ht="15.75" customHeight="1" x14ac:dyDescent="0.2">
      <c r="A33" s="400" t="s">
        <v>291</v>
      </c>
      <c r="K33" s="418"/>
      <c r="L33" s="402" t="s">
        <v>292</v>
      </c>
      <c r="M33" s="402"/>
      <c r="N33" s="402"/>
      <c r="P33" s="418"/>
      <c r="Q33" s="402" t="s">
        <v>293</v>
      </c>
      <c r="R33" s="402"/>
      <c r="S33" s="402"/>
      <c r="V33" s="418"/>
      <c r="W33" s="402" t="s">
        <v>294</v>
      </c>
      <c r="X33" s="402"/>
      <c r="Y33" s="402"/>
      <c r="Z33" s="402"/>
      <c r="AA33" s="402"/>
      <c r="AB33" s="402"/>
      <c r="AC33" s="402"/>
      <c r="AD33" s="402"/>
    </row>
    <row r="34" spans="1:31" ht="6.75" customHeight="1" x14ac:dyDescent="0.2">
      <c r="A34" s="400"/>
      <c r="L34" s="402"/>
      <c r="M34" s="402"/>
      <c r="N34" s="402"/>
      <c r="Q34" s="402"/>
      <c r="R34" s="402"/>
      <c r="S34" s="402"/>
      <c r="W34" s="402"/>
      <c r="X34" s="402"/>
      <c r="Y34" s="402"/>
      <c r="Z34" s="402"/>
      <c r="AA34" s="402"/>
      <c r="AB34" s="402"/>
      <c r="AC34" s="402"/>
      <c r="AD34" s="402"/>
    </row>
    <row r="35" spans="1:31" ht="15.75" customHeight="1" x14ac:dyDescent="0.25">
      <c r="A35" s="400" t="s">
        <v>295</v>
      </c>
      <c r="H35" s="675" t="str">
        <f>Ввод!B26</f>
        <v>двухсторонняя</v>
      </c>
      <c r="I35" s="676"/>
      <c r="J35" s="676"/>
      <c r="K35" s="676"/>
      <c r="L35" s="676"/>
      <c r="M35" s="676"/>
      <c r="N35" s="676"/>
      <c r="O35" s="676"/>
      <c r="P35" s="676"/>
      <c r="Q35" s="676"/>
      <c r="R35" s="676"/>
      <c r="S35" s="676"/>
      <c r="T35" s="676"/>
      <c r="U35" s="676"/>
      <c r="V35" s="676"/>
      <c r="W35" s="676"/>
      <c r="X35" s="676"/>
      <c r="Y35" s="676"/>
      <c r="Z35" s="676"/>
      <c r="AA35" s="676"/>
      <c r="AB35" s="676"/>
      <c r="AC35" s="676"/>
      <c r="AD35" s="676"/>
      <c r="AE35" s="677"/>
    </row>
    <row r="36" spans="1:31" ht="17.25" hidden="1" customHeight="1" x14ac:dyDescent="0.2">
      <c r="A36" s="400"/>
      <c r="L36" s="402"/>
      <c r="M36" s="402"/>
      <c r="N36" s="402"/>
      <c r="Q36" s="402"/>
      <c r="R36" s="402"/>
      <c r="S36" s="402"/>
      <c r="W36" s="402"/>
      <c r="X36" s="402"/>
      <c r="Y36" s="402"/>
      <c r="Z36" s="402"/>
      <c r="AA36" s="402"/>
      <c r="AB36" s="402"/>
      <c r="AC36" s="402"/>
      <c r="AD36" s="402"/>
    </row>
    <row r="37" spans="1:31" ht="3.75" customHeight="1" x14ac:dyDescent="0.2"/>
    <row r="38" spans="1:31" x14ac:dyDescent="0.2">
      <c r="A38" s="628" t="s">
        <v>296</v>
      </c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8"/>
      <c r="N38" s="628"/>
      <c r="O38" s="628"/>
      <c r="P38" s="628"/>
      <c r="Q38" s="628"/>
      <c r="R38" s="628"/>
      <c r="S38" s="628"/>
      <c r="T38" s="628"/>
      <c r="U38" s="628"/>
      <c r="V38" s="628"/>
      <c r="W38" s="628"/>
      <c r="X38" s="628"/>
      <c r="Y38" s="628"/>
      <c r="Z38" s="628"/>
      <c r="AA38" s="628"/>
      <c r="AB38" s="628"/>
      <c r="AC38" s="628"/>
      <c r="AD38" s="628"/>
      <c r="AE38" s="628"/>
    </row>
    <row r="39" spans="1:31" ht="4.5" customHeight="1" x14ac:dyDescent="0.2">
      <c r="A39" s="628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8"/>
      <c r="N39" s="628"/>
      <c r="O39" s="628"/>
      <c r="P39" s="628"/>
      <c r="Q39" s="628"/>
      <c r="R39" s="628"/>
      <c r="S39" s="628"/>
      <c r="T39" s="628"/>
      <c r="U39" s="628"/>
      <c r="V39" s="628"/>
      <c r="W39" s="628"/>
      <c r="X39" s="628"/>
      <c r="Y39" s="628"/>
      <c r="Z39" s="628"/>
      <c r="AA39" s="628"/>
      <c r="AB39" s="628"/>
      <c r="AC39" s="628"/>
      <c r="AD39" s="628"/>
      <c r="AE39" s="628"/>
    </row>
    <row r="40" spans="1:31" x14ac:dyDescent="0.2">
      <c r="A40" s="628"/>
      <c r="B40" s="628"/>
      <c r="C40" s="628"/>
      <c r="D40" s="628"/>
      <c r="E40" s="628"/>
      <c r="F40" s="628"/>
      <c r="G40" s="628"/>
      <c r="H40" s="628"/>
      <c r="I40" s="628"/>
      <c r="J40" s="628"/>
      <c r="K40" s="628"/>
      <c r="L40" s="628"/>
      <c r="M40" s="628"/>
      <c r="N40" s="628"/>
      <c r="O40" s="628"/>
      <c r="P40" s="628"/>
      <c r="Q40" s="628"/>
      <c r="R40" s="628"/>
      <c r="S40" s="628"/>
      <c r="T40" s="628"/>
      <c r="U40" s="628"/>
      <c r="V40" s="628"/>
      <c r="W40" s="628"/>
      <c r="X40" s="628"/>
      <c r="Y40" s="628"/>
      <c r="Z40" s="628"/>
      <c r="AA40" s="628"/>
      <c r="AB40" s="628"/>
      <c r="AC40" s="628"/>
      <c r="AD40" s="628"/>
      <c r="AE40" s="628"/>
    </row>
    <row r="41" spans="1:31" ht="3" customHeight="1" x14ac:dyDescent="0.2">
      <c r="A41" s="628"/>
      <c r="B41" s="628"/>
      <c r="C41" s="628"/>
      <c r="D41" s="628"/>
      <c r="E41" s="628"/>
      <c r="F41" s="628"/>
      <c r="G41" s="628"/>
      <c r="H41" s="628"/>
      <c r="I41" s="628"/>
      <c r="J41" s="628"/>
      <c r="K41" s="628"/>
      <c r="L41" s="628"/>
      <c r="M41" s="628"/>
      <c r="N41" s="628"/>
      <c r="O41" s="628"/>
      <c r="P41" s="628"/>
      <c r="Q41" s="628"/>
      <c r="R41" s="628"/>
      <c r="S41" s="628"/>
      <c r="T41" s="628"/>
      <c r="U41" s="628"/>
      <c r="V41" s="628"/>
      <c r="W41" s="628"/>
      <c r="X41" s="628"/>
      <c r="Y41" s="628"/>
      <c r="Z41" s="628"/>
      <c r="AA41" s="628"/>
      <c r="AB41" s="628"/>
      <c r="AC41" s="628"/>
      <c r="AD41" s="628"/>
      <c r="AE41" s="628"/>
    </row>
    <row r="42" spans="1:31" ht="26.25" customHeight="1" x14ac:dyDescent="0.2">
      <c r="A42" s="628"/>
      <c r="B42" s="628"/>
      <c r="C42" s="628"/>
      <c r="D42" s="628"/>
      <c r="E42" s="628"/>
      <c r="F42" s="628"/>
      <c r="G42" s="628"/>
      <c r="H42" s="628"/>
      <c r="I42" s="628"/>
      <c r="J42" s="628"/>
      <c r="K42" s="628"/>
      <c r="L42" s="628"/>
      <c r="M42" s="628"/>
      <c r="N42" s="628"/>
      <c r="O42" s="628"/>
      <c r="P42" s="628"/>
      <c r="Q42" s="628"/>
      <c r="R42" s="628"/>
      <c r="S42" s="628"/>
      <c r="T42" s="628"/>
      <c r="U42" s="628"/>
      <c r="V42" s="628"/>
      <c r="W42" s="628"/>
      <c r="X42" s="628"/>
      <c r="Y42" s="628"/>
      <c r="Z42" s="628"/>
      <c r="AA42" s="628"/>
      <c r="AB42" s="628"/>
      <c r="AC42" s="628"/>
      <c r="AD42" s="628"/>
      <c r="AE42" s="628"/>
    </row>
    <row r="43" spans="1:31" ht="9.75" customHeight="1" x14ac:dyDescent="0.2">
      <c r="A43" s="593" t="str">
        <f>Ввод!B29</f>
        <v>соответствует. Изменения согласно представленной документации не выявлены.</v>
      </c>
      <c r="B43" s="594"/>
      <c r="C43" s="594"/>
      <c r="D43" s="594"/>
      <c r="E43" s="594"/>
      <c r="F43" s="594"/>
      <c r="G43" s="594"/>
      <c r="H43" s="594"/>
      <c r="I43" s="594"/>
      <c r="J43" s="594"/>
      <c r="K43" s="594"/>
      <c r="L43" s="594"/>
      <c r="M43" s="594"/>
      <c r="N43" s="594"/>
      <c r="O43" s="594"/>
      <c r="P43" s="594"/>
      <c r="Q43" s="594"/>
      <c r="R43" s="594"/>
      <c r="S43" s="594"/>
      <c r="T43" s="594"/>
      <c r="U43" s="594"/>
      <c r="V43" s="594"/>
      <c r="W43" s="594"/>
      <c r="X43" s="594"/>
      <c r="Y43" s="594"/>
      <c r="Z43" s="594"/>
      <c r="AA43" s="594"/>
      <c r="AB43" s="594"/>
      <c r="AC43" s="594"/>
      <c r="AD43" s="594"/>
      <c r="AE43" s="595"/>
    </row>
    <row r="44" spans="1:31" ht="12" customHeight="1" x14ac:dyDescent="0.2">
      <c r="A44" s="596"/>
      <c r="B44" s="597"/>
      <c r="C44" s="597"/>
      <c r="D44" s="597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8"/>
    </row>
    <row r="45" spans="1:31" ht="12.75" customHeight="1" x14ac:dyDescent="0.2">
      <c r="A45" s="599"/>
      <c r="B45" s="600"/>
      <c r="C45" s="600"/>
      <c r="D45" s="600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1"/>
    </row>
    <row r="46" spans="1:31" ht="2.25" customHeight="1" x14ac:dyDescent="0.2"/>
    <row r="47" spans="1:31" ht="5.25" hidden="1" customHeight="1" x14ac:dyDescent="0.2"/>
    <row r="48" spans="1:31" ht="13.5" customHeight="1" x14ac:dyDescent="0.25">
      <c r="A48" s="400" t="s">
        <v>297</v>
      </c>
      <c r="J48" s="675" t="str">
        <f>Ввод!B36</f>
        <v>нормальное</v>
      </c>
      <c r="K48" s="676"/>
      <c r="L48" s="676"/>
      <c r="M48" s="676"/>
      <c r="N48" s="676"/>
      <c r="O48" s="676"/>
      <c r="P48" s="676"/>
      <c r="Q48" s="676"/>
      <c r="R48" s="676"/>
      <c r="S48" s="676"/>
      <c r="T48" s="676"/>
      <c r="U48" s="676"/>
      <c r="V48" s="676"/>
      <c r="W48" s="676"/>
      <c r="X48" s="676"/>
      <c r="Y48" s="676"/>
      <c r="Z48" s="676"/>
      <c r="AA48" s="676"/>
      <c r="AB48" s="676"/>
      <c r="AC48" s="676"/>
      <c r="AD48" s="676"/>
      <c r="AE48" s="677"/>
    </row>
    <row r="49" spans="1:32" ht="3" customHeight="1" x14ac:dyDescent="0.2"/>
    <row r="50" spans="1:32" x14ac:dyDescent="0.2">
      <c r="A50" s="400" t="s">
        <v>298</v>
      </c>
    </row>
    <row r="51" spans="1:32" ht="6" customHeight="1" x14ac:dyDescent="0.2">
      <c r="A51" s="421"/>
    </row>
    <row r="52" spans="1:32" ht="16.5" customHeight="1" x14ac:dyDescent="0.2">
      <c r="A52" s="421"/>
      <c r="C52" s="422"/>
      <c r="D52" s="390" t="s">
        <v>299</v>
      </c>
      <c r="J52" s="422"/>
      <c r="K52" s="390" t="s">
        <v>300</v>
      </c>
    </row>
    <row r="53" spans="1:32" ht="6" customHeight="1" x14ac:dyDescent="0.2">
      <c r="A53" s="421"/>
    </row>
    <row r="54" spans="1:32" ht="16.5" customHeight="1" x14ac:dyDescent="0.2">
      <c r="A54" s="421"/>
      <c r="C54" s="423"/>
      <c r="D54" s="390" t="s">
        <v>301</v>
      </c>
      <c r="J54" s="423"/>
      <c r="K54" s="390" t="s">
        <v>302</v>
      </c>
      <c r="S54" s="418"/>
      <c r="U54" s="390" t="s">
        <v>303</v>
      </c>
    </row>
    <row r="55" spans="1:32" ht="4.5" customHeight="1" x14ac:dyDescent="0.2">
      <c r="C55" s="424"/>
      <c r="J55" s="424"/>
    </row>
    <row r="56" spans="1:32" ht="6" hidden="1" customHeight="1" x14ac:dyDescent="0.2"/>
    <row r="57" spans="1:32" ht="12.75" customHeight="1" x14ac:dyDescent="0.2">
      <c r="A57" s="425" t="s">
        <v>304</v>
      </c>
      <c r="C57" s="678">
        <v>1</v>
      </c>
      <c r="D57" s="678"/>
      <c r="E57" s="678"/>
      <c r="F57" s="678"/>
      <c r="G57" s="678">
        <v>2</v>
      </c>
      <c r="H57" s="678"/>
      <c r="I57" s="678"/>
      <c r="J57" s="678"/>
      <c r="K57" s="678"/>
      <c r="L57" s="678"/>
      <c r="M57" s="678"/>
      <c r="N57" s="678"/>
      <c r="O57" s="678">
        <v>3</v>
      </c>
      <c r="P57" s="678"/>
      <c r="Q57" s="678"/>
      <c r="R57" s="678"/>
      <c r="S57" s="585">
        <v>4</v>
      </c>
      <c r="T57" s="679"/>
      <c r="U57" s="679"/>
      <c r="V57" s="679"/>
      <c r="W57" s="679"/>
      <c r="X57" s="679"/>
      <c r="Y57" s="586"/>
      <c r="Z57" s="678">
        <v>5</v>
      </c>
      <c r="AA57" s="678"/>
      <c r="AB57" s="678"/>
      <c r="AC57" s="678"/>
      <c r="AD57" s="678"/>
    </row>
    <row r="58" spans="1:32" ht="12.75" customHeight="1" x14ac:dyDescent="0.2">
      <c r="C58" s="656" t="s">
        <v>305</v>
      </c>
      <c r="D58" s="656"/>
      <c r="E58" s="656"/>
      <c r="F58" s="656"/>
      <c r="G58" s="656" t="s">
        <v>306</v>
      </c>
      <c r="H58" s="656"/>
      <c r="I58" s="656"/>
      <c r="J58" s="656"/>
      <c r="K58" s="656"/>
      <c r="L58" s="656"/>
      <c r="M58" s="656"/>
      <c r="N58" s="656"/>
      <c r="O58" s="656" t="s">
        <v>307</v>
      </c>
      <c r="P58" s="656"/>
      <c r="Q58" s="656"/>
      <c r="R58" s="656"/>
      <c r="S58" s="657" t="s">
        <v>308</v>
      </c>
      <c r="T58" s="658"/>
      <c r="U58" s="658"/>
      <c r="V58" s="658"/>
      <c r="W58" s="658"/>
      <c r="X58" s="658"/>
      <c r="Y58" s="659"/>
      <c r="Z58" s="656" t="s">
        <v>309</v>
      </c>
      <c r="AA58" s="656"/>
      <c r="AB58" s="656"/>
      <c r="AC58" s="656"/>
      <c r="AD58" s="656"/>
    </row>
    <row r="59" spans="1:32" ht="12.75" customHeight="1" x14ac:dyDescent="0.2">
      <c r="C59" s="656"/>
      <c r="D59" s="656"/>
      <c r="E59" s="656"/>
      <c r="F59" s="656"/>
      <c r="G59" s="656"/>
      <c r="H59" s="656"/>
      <c r="I59" s="656"/>
      <c r="J59" s="656"/>
      <c r="K59" s="656"/>
      <c r="L59" s="656"/>
      <c r="M59" s="656"/>
      <c r="N59" s="656"/>
      <c r="O59" s="656"/>
      <c r="P59" s="656"/>
      <c r="Q59" s="656"/>
      <c r="R59" s="656"/>
      <c r="S59" s="660"/>
      <c r="T59" s="661"/>
      <c r="U59" s="661"/>
      <c r="V59" s="661"/>
      <c r="W59" s="661"/>
      <c r="X59" s="661"/>
      <c r="Y59" s="662"/>
      <c r="Z59" s="656"/>
      <c r="AA59" s="656"/>
      <c r="AB59" s="656"/>
      <c r="AC59" s="656"/>
      <c r="AD59" s="656"/>
    </row>
    <row r="60" spans="1:32" ht="18" customHeight="1" x14ac:dyDescent="0.2">
      <c r="C60" s="656"/>
      <c r="D60" s="656"/>
      <c r="E60" s="656"/>
      <c r="F60" s="656"/>
      <c r="G60" s="656"/>
      <c r="H60" s="656"/>
      <c r="I60" s="656"/>
      <c r="J60" s="656"/>
      <c r="K60" s="656"/>
      <c r="L60" s="656"/>
      <c r="M60" s="656"/>
      <c r="N60" s="656"/>
      <c r="O60" s="656"/>
      <c r="P60" s="656"/>
      <c r="Q60" s="656"/>
      <c r="R60" s="656"/>
      <c r="S60" s="663"/>
      <c r="T60" s="664"/>
      <c r="U60" s="664"/>
      <c r="V60" s="664"/>
      <c r="W60" s="664"/>
      <c r="X60" s="664"/>
      <c r="Y60" s="665"/>
      <c r="Z60" s="656"/>
      <c r="AA60" s="656"/>
      <c r="AB60" s="656"/>
      <c r="AC60" s="656"/>
      <c r="AD60" s="656"/>
    </row>
    <row r="61" spans="1:32" s="396" customFormat="1" ht="31.5" customHeight="1" x14ac:dyDescent="0.2">
      <c r="C61" s="650">
        <v>1</v>
      </c>
      <c r="D61" s="650"/>
      <c r="E61" s="650"/>
      <c r="F61" s="650"/>
      <c r="G61" s="651" t="s">
        <v>310</v>
      </c>
      <c r="H61" s="651"/>
      <c r="I61" s="651"/>
      <c r="J61" s="651"/>
      <c r="K61" s="651"/>
      <c r="L61" s="651"/>
      <c r="M61" s="651"/>
      <c r="N61" s="651"/>
      <c r="O61" s="653">
        <f>'Таблицы расч'!B4</f>
        <v>57.4</v>
      </c>
      <c r="P61" s="653"/>
      <c r="Q61" s="653"/>
      <c r="R61" s="653"/>
      <c r="S61" s="654" t="str">
        <f>'Таблицы расч'!B14</f>
        <v>удовлетворительное</v>
      </c>
      <c r="T61" s="654"/>
      <c r="U61" s="654"/>
      <c r="V61" s="654"/>
      <c r="W61" s="654"/>
      <c r="X61" s="654"/>
      <c r="Y61" s="654"/>
      <c r="Z61" s="666" t="str">
        <f>Ввод!B21</f>
        <v>на улицу</v>
      </c>
      <c r="AA61" s="667"/>
      <c r="AB61" s="667"/>
      <c r="AC61" s="667"/>
      <c r="AD61" s="668"/>
    </row>
    <row r="62" spans="1:32" ht="31.5" customHeight="1" x14ac:dyDescent="0.2">
      <c r="C62" s="650">
        <v>2</v>
      </c>
      <c r="D62" s="650"/>
      <c r="E62" s="650"/>
      <c r="F62" s="650"/>
      <c r="G62" s="651" t="s">
        <v>311</v>
      </c>
      <c r="H62" s="651"/>
      <c r="I62" s="651"/>
      <c r="J62" s="651"/>
      <c r="K62" s="651"/>
      <c r="L62" s="651"/>
      <c r="M62" s="651"/>
      <c r="N62" s="651"/>
      <c r="O62" s="652" t="str">
        <f>Ввод!B28</f>
        <v>26,9</v>
      </c>
      <c r="P62" s="653"/>
      <c r="Q62" s="653"/>
      <c r="R62" s="653"/>
      <c r="S62" s="654" t="str">
        <f>'Таблицы расч'!B14</f>
        <v>удовлетворительное</v>
      </c>
      <c r="T62" s="654"/>
      <c r="U62" s="654"/>
      <c r="V62" s="654"/>
      <c r="W62" s="654"/>
      <c r="X62" s="654"/>
      <c r="Y62" s="654"/>
      <c r="Z62" s="669"/>
      <c r="AA62" s="670"/>
      <c r="AB62" s="670"/>
      <c r="AC62" s="670"/>
      <c r="AD62" s="671"/>
      <c r="AF62" s="426"/>
    </row>
    <row r="63" spans="1:32" ht="31.5" customHeight="1" x14ac:dyDescent="0.2">
      <c r="C63" s="650">
        <v>3</v>
      </c>
      <c r="D63" s="650"/>
      <c r="E63" s="650"/>
      <c r="F63" s="650"/>
      <c r="G63" s="651" t="s">
        <v>312</v>
      </c>
      <c r="H63" s="651"/>
      <c r="I63" s="651"/>
      <c r="J63" s="651"/>
      <c r="K63" s="651"/>
      <c r="L63" s="651"/>
      <c r="M63" s="651"/>
      <c r="N63" s="651"/>
      <c r="O63" s="655">
        <f>'Таблицы расч'!B25</f>
        <v>6.2</v>
      </c>
      <c r="P63" s="653"/>
      <c r="Q63" s="653"/>
      <c r="R63" s="653"/>
      <c r="S63" s="654" t="str">
        <f>'Таблицы расч'!B14</f>
        <v>удовлетворительное</v>
      </c>
      <c r="T63" s="654"/>
      <c r="U63" s="654"/>
      <c r="V63" s="654"/>
      <c r="W63" s="654"/>
      <c r="X63" s="654"/>
      <c r="Y63" s="654"/>
      <c r="Z63" s="672"/>
      <c r="AA63" s="673"/>
      <c r="AB63" s="673"/>
      <c r="AC63" s="673"/>
      <c r="AD63" s="674"/>
      <c r="AF63" s="426"/>
    </row>
    <row r="64" spans="1:32" ht="31.5" customHeight="1" x14ac:dyDescent="0.2">
      <c r="C64" s="637"/>
      <c r="D64" s="638"/>
      <c r="E64" s="638"/>
      <c r="F64" s="639"/>
      <c r="G64" s="640"/>
      <c r="H64" s="640"/>
      <c r="I64" s="640"/>
      <c r="J64" s="640"/>
      <c r="K64" s="640"/>
      <c r="L64" s="640"/>
      <c r="M64" s="640"/>
      <c r="N64" s="640"/>
      <c r="O64" s="641"/>
      <c r="P64" s="641"/>
      <c r="Q64" s="641"/>
      <c r="R64" s="641"/>
      <c r="S64" s="642"/>
      <c r="T64" s="643"/>
      <c r="U64" s="643"/>
      <c r="V64" s="643"/>
      <c r="W64" s="643"/>
      <c r="X64" s="643"/>
      <c r="Y64" s="644"/>
      <c r="Z64" s="645"/>
      <c r="AA64" s="646"/>
      <c r="AB64" s="646"/>
      <c r="AC64" s="646"/>
      <c r="AD64" s="647"/>
      <c r="AF64" s="426"/>
    </row>
    <row r="65" spans="1:32" s="396" customFormat="1" ht="2.25" hidden="1" customHeight="1" x14ac:dyDescent="0.2">
      <c r="C65" s="427"/>
      <c r="D65" s="427"/>
      <c r="E65" s="427"/>
      <c r="F65" s="427"/>
      <c r="G65" s="427"/>
      <c r="H65" s="427"/>
      <c r="I65" s="427"/>
      <c r="J65" s="427"/>
      <c r="K65" s="427"/>
      <c r="L65" s="427"/>
      <c r="M65" s="427"/>
      <c r="N65" s="427"/>
      <c r="O65" s="427"/>
      <c r="P65" s="427"/>
      <c r="Q65" s="427"/>
      <c r="R65" s="427"/>
      <c r="S65" s="427"/>
      <c r="T65" s="427"/>
      <c r="U65" s="427"/>
      <c r="V65" s="427"/>
      <c r="W65" s="427"/>
      <c r="X65" s="427"/>
      <c r="Y65" s="427"/>
      <c r="Z65" s="427"/>
      <c r="AA65" s="427"/>
      <c r="AB65" s="427"/>
      <c r="AC65" s="427"/>
      <c r="AD65" s="427"/>
    </row>
    <row r="66" spans="1:32" s="396" customFormat="1" ht="16.5" customHeight="1" x14ac:dyDescent="0.2">
      <c r="A66" s="648" t="s">
        <v>313</v>
      </c>
      <c r="B66" s="649"/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649"/>
      <c r="Q66" s="649"/>
      <c r="R66" s="649"/>
      <c r="S66" s="649"/>
      <c r="T66" s="649"/>
      <c r="U66" s="649"/>
      <c r="V66" s="649"/>
      <c r="W66" s="649"/>
      <c r="X66" s="649"/>
      <c r="Y66" s="649"/>
      <c r="Z66" s="649"/>
      <c r="AA66" s="649"/>
      <c r="AB66" s="649"/>
      <c r="AC66" s="649"/>
      <c r="AD66" s="649"/>
      <c r="AE66" s="649"/>
    </row>
    <row r="67" spans="1:32" ht="0.75" hidden="1" customHeight="1" x14ac:dyDescent="0.2"/>
    <row r="68" spans="1:32" ht="18" customHeight="1" x14ac:dyDescent="0.2">
      <c r="A68" s="628" t="s">
        <v>314</v>
      </c>
      <c r="B68" s="628"/>
      <c r="C68" s="628"/>
      <c r="D68" s="628"/>
      <c r="E68" s="628"/>
      <c r="F68" s="628"/>
      <c r="G68" s="628"/>
      <c r="H68" s="628"/>
      <c r="I68" s="628"/>
      <c r="J68" s="628"/>
      <c r="K68" s="593" t="str">
        <f>Ввод!B33</f>
        <v>отсутствует необходимость проведения  ремонтных работ в квартире</v>
      </c>
      <c r="L68" s="594"/>
      <c r="M68" s="594"/>
      <c r="N68" s="594"/>
      <c r="O68" s="594"/>
      <c r="P68" s="594"/>
      <c r="Q68" s="594"/>
      <c r="R68" s="594"/>
      <c r="S68" s="594"/>
      <c r="T68" s="594"/>
      <c r="U68" s="594"/>
      <c r="V68" s="594"/>
      <c r="W68" s="594"/>
      <c r="X68" s="594"/>
      <c r="Y68" s="594"/>
      <c r="Z68" s="594"/>
      <c r="AA68" s="594"/>
      <c r="AB68" s="594"/>
      <c r="AC68" s="594"/>
      <c r="AD68" s="594"/>
      <c r="AE68" s="595"/>
    </row>
    <row r="69" spans="1:32" ht="15" customHeight="1" x14ac:dyDescent="0.2">
      <c r="A69" s="628"/>
      <c r="B69" s="628"/>
      <c r="C69" s="628"/>
      <c r="D69" s="628"/>
      <c r="E69" s="628"/>
      <c r="F69" s="628"/>
      <c r="G69" s="628"/>
      <c r="H69" s="628"/>
      <c r="I69" s="628"/>
      <c r="J69" s="628"/>
      <c r="K69" s="596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8"/>
    </row>
    <row r="70" spans="1:32" ht="3.75" customHeight="1" x14ac:dyDescent="0.2">
      <c r="A70" s="628"/>
      <c r="B70" s="628"/>
      <c r="C70" s="628"/>
      <c r="D70" s="628"/>
      <c r="E70" s="628"/>
      <c r="F70" s="628"/>
      <c r="G70" s="628"/>
      <c r="H70" s="628"/>
      <c r="I70" s="628"/>
      <c r="J70" s="628"/>
      <c r="K70" s="596"/>
      <c r="L70" s="597"/>
      <c r="M70" s="597"/>
      <c r="N70" s="597"/>
      <c r="O70" s="597"/>
      <c r="P70" s="597"/>
      <c r="Q70" s="597"/>
      <c r="R70" s="597"/>
      <c r="S70" s="597"/>
      <c r="T70" s="597"/>
      <c r="U70" s="597"/>
      <c r="V70" s="597"/>
      <c r="W70" s="597"/>
      <c r="X70" s="597"/>
      <c r="Y70" s="597"/>
      <c r="Z70" s="597"/>
      <c r="AA70" s="597"/>
      <c r="AB70" s="597"/>
      <c r="AC70" s="597"/>
      <c r="AD70" s="597"/>
      <c r="AE70" s="598"/>
    </row>
    <row r="71" spans="1:32" ht="10.5" customHeight="1" x14ac:dyDescent="0.2">
      <c r="A71" s="628"/>
      <c r="B71" s="628"/>
      <c r="C71" s="628"/>
      <c r="D71" s="628"/>
      <c r="E71" s="628"/>
      <c r="F71" s="628"/>
      <c r="G71" s="628"/>
      <c r="H71" s="628"/>
      <c r="I71" s="628"/>
      <c r="J71" s="628"/>
      <c r="K71" s="596"/>
      <c r="L71" s="597"/>
      <c r="M71" s="597"/>
      <c r="N71" s="597"/>
      <c r="O71" s="597"/>
      <c r="P71" s="597"/>
      <c r="Q71" s="597"/>
      <c r="R71" s="597"/>
      <c r="S71" s="597"/>
      <c r="T71" s="597"/>
      <c r="U71" s="597"/>
      <c r="V71" s="597"/>
      <c r="W71" s="597"/>
      <c r="X71" s="597"/>
      <c r="Y71" s="597"/>
      <c r="Z71" s="597"/>
      <c r="AA71" s="597"/>
      <c r="AB71" s="597"/>
      <c r="AC71" s="597"/>
      <c r="AD71" s="597"/>
      <c r="AE71" s="598"/>
    </row>
    <row r="72" spans="1:32" ht="3.75" customHeight="1" x14ac:dyDescent="0.2">
      <c r="A72" s="628"/>
      <c r="B72" s="628"/>
      <c r="C72" s="628"/>
      <c r="D72" s="628"/>
      <c r="E72" s="628"/>
      <c r="F72" s="628"/>
      <c r="G72" s="628"/>
      <c r="H72" s="628"/>
      <c r="I72" s="628"/>
      <c r="J72" s="628"/>
      <c r="K72" s="596"/>
      <c r="L72" s="597"/>
      <c r="M72" s="597"/>
      <c r="N72" s="597"/>
      <c r="O72" s="597"/>
      <c r="P72" s="597"/>
      <c r="Q72" s="597"/>
      <c r="R72" s="597"/>
      <c r="S72" s="597"/>
      <c r="T72" s="597"/>
      <c r="U72" s="597"/>
      <c r="V72" s="597"/>
      <c r="W72" s="597"/>
      <c r="X72" s="597"/>
      <c r="Y72" s="597"/>
      <c r="Z72" s="597"/>
      <c r="AA72" s="597"/>
      <c r="AB72" s="597"/>
      <c r="AC72" s="597"/>
      <c r="AD72" s="597"/>
      <c r="AE72" s="598"/>
    </row>
    <row r="73" spans="1:32" ht="7.5" customHeight="1" x14ac:dyDescent="0.2">
      <c r="A73" s="628"/>
      <c r="B73" s="628"/>
      <c r="C73" s="628"/>
      <c r="D73" s="628"/>
      <c r="E73" s="628"/>
      <c r="F73" s="628"/>
      <c r="G73" s="628"/>
      <c r="H73" s="628"/>
      <c r="I73" s="628"/>
      <c r="J73" s="628"/>
      <c r="K73" s="599"/>
      <c r="L73" s="600"/>
      <c r="M73" s="600"/>
      <c r="N73" s="600"/>
      <c r="O73" s="600"/>
      <c r="P73" s="600"/>
      <c r="Q73" s="600"/>
      <c r="R73" s="600"/>
      <c r="S73" s="600"/>
      <c r="T73" s="600"/>
      <c r="U73" s="600"/>
      <c r="V73" s="600"/>
      <c r="W73" s="600"/>
      <c r="X73" s="600"/>
      <c r="Y73" s="600"/>
      <c r="Z73" s="600"/>
      <c r="AA73" s="600"/>
      <c r="AB73" s="600"/>
      <c r="AC73" s="600"/>
      <c r="AD73" s="600"/>
      <c r="AE73" s="601"/>
    </row>
    <row r="74" spans="1:32" ht="12" customHeight="1" x14ac:dyDescent="0.2">
      <c r="AD74" s="402"/>
      <c r="AE74" s="402"/>
    </row>
    <row r="75" spans="1:32" ht="4.5" customHeight="1" x14ac:dyDescent="0.2">
      <c r="A75" s="552"/>
      <c r="B75" s="552"/>
      <c r="C75" s="552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393"/>
    </row>
    <row r="76" spans="1:32" x14ac:dyDescent="0.2">
      <c r="A76" s="396" t="s">
        <v>315</v>
      </c>
      <c r="AD76" s="402"/>
      <c r="AE76" s="402"/>
    </row>
    <row r="77" spans="1:32" ht="4.5" customHeight="1" x14ac:dyDescent="0.2"/>
    <row r="78" spans="1:32" s="398" customFormat="1" ht="25.5" customHeight="1" x14ac:dyDescent="0.2">
      <c r="A78" s="397" t="s">
        <v>316</v>
      </c>
      <c r="J78" s="553" t="str">
        <f>Ввод!B24</f>
        <v>1962</v>
      </c>
      <c r="K78" s="554"/>
      <c r="L78" s="554"/>
      <c r="M78" s="554"/>
      <c r="N78" s="554"/>
      <c r="O78" s="554"/>
      <c r="P78" s="555"/>
      <c r="R78" s="397" t="s">
        <v>317</v>
      </c>
      <c r="X78" s="403"/>
      <c r="Y78" s="403"/>
      <c r="Z78" s="631" t="str">
        <f>Ввод!B44</f>
        <v>5</v>
      </c>
      <c r="AA78" s="632"/>
      <c r="AB78" s="632"/>
      <c r="AC78" s="632"/>
      <c r="AD78" s="632"/>
      <c r="AE78" s="633"/>
    </row>
    <row r="79" spans="1:32" ht="7.5" customHeight="1" x14ac:dyDescent="0.2"/>
    <row r="80" spans="1:32" s="398" customFormat="1" ht="25.5" customHeight="1" x14ac:dyDescent="0.2">
      <c r="A80" s="397" t="s">
        <v>318</v>
      </c>
      <c r="J80" s="634" t="str">
        <f>Ввод!B31</f>
        <v>шлакобетонные, монолитные железобетонные</v>
      </c>
      <c r="K80" s="635"/>
      <c r="L80" s="635"/>
      <c r="M80" s="635"/>
      <c r="N80" s="635"/>
      <c r="O80" s="635"/>
      <c r="P80" s="636"/>
      <c r="R80" s="397" t="s">
        <v>319</v>
      </c>
      <c r="Z80" s="553" t="str">
        <f>Ввод!B32</f>
        <v>железобетон</v>
      </c>
      <c r="AA80" s="554"/>
      <c r="AB80" s="554"/>
      <c r="AC80" s="554"/>
      <c r="AD80" s="554"/>
      <c r="AE80" s="555"/>
    </row>
    <row r="81" spans="1:34" ht="7.5" customHeight="1" x14ac:dyDescent="0.2"/>
    <row r="82" spans="1:34" s="398" customFormat="1" ht="25.5" customHeight="1" x14ac:dyDescent="0.2">
      <c r="A82" s="397" t="s">
        <v>320</v>
      </c>
      <c r="F82" s="622" t="str">
        <f>'Таблицы расч'!B16</f>
        <v>панельный многоэтажный</v>
      </c>
      <c r="G82" s="623"/>
      <c r="H82" s="623"/>
      <c r="I82" s="623"/>
      <c r="J82" s="623"/>
      <c r="K82" s="623"/>
      <c r="L82" s="623"/>
      <c r="M82" s="623"/>
      <c r="N82" s="623"/>
      <c r="O82" s="623"/>
      <c r="P82" s="623"/>
      <c r="Q82" s="623"/>
      <c r="R82" s="623"/>
      <c r="S82" s="623"/>
      <c r="T82" s="623"/>
      <c r="U82" s="623"/>
      <c r="V82" s="623"/>
      <c r="W82" s="623"/>
      <c r="X82" s="623"/>
      <c r="Y82" s="623"/>
      <c r="Z82" s="623"/>
      <c r="AA82" s="623"/>
      <c r="AB82" s="623"/>
      <c r="AC82" s="623"/>
      <c r="AD82" s="623"/>
      <c r="AE82" s="624"/>
    </row>
    <row r="83" spans="1:34" ht="8.25" customHeight="1" x14ac:dyDescent="0.2">
      <c r="A83" s="400"/>
      <c r="F83" s="428"/>
      <c r="G83" s="428"/>
      <c r="H83" s="428"/>
      <c r="I83" s="428"/>
      <c r="J83" s="428"/>
      <c r="K83" s="429"/>
      <c r="L83" s="428"/>
      <c r="M83" s="428"/>
      <c r="N83" s="428"/>
      <c r="O83" s="428"/>
      <c r="P83" s="428"/>
      <c r="Q83" s="428"/>
      <c r="R83" s="428"/>
      <c r="S83" s="429"/>
      <c r="T83" s="428"/>
      <c r="U83" s="428"/>
      <c r="V83" s="428"/>
      <c r="W83" s="428"/>
      <c r="X83" s="429"/>
      <c r="Y83" s="428"/>
      <c r="Z83" s="428"/>
      <c r="AA83" s="428"/>
      <c r="AB83" s="428"/>
      <c r="AC83" s="429"/>
      <c r="AD83" s="428"/>
      <c r="AE83" s="428"/>
      <c r="AF83" s="402"/>
      <c r="AG83" s="402"/>
      <c r="AH83" s="402"/>
    </row>
    <row r="84" spans="1:34" ht="15" x14ac:dyDescent="0.2">
      <c r="A84" s="400" t="s">
        <v>321</v>
      </c>
      <c r="I84" s="402"/>
      <c r="J84" s="402"/>
      <c r="K84" s="402"/>
      <c r="L84" s="625" t="str">
        <f>Ввод!B36</f>
        <v>нормальное</v>
      </c>
      <c r="M84" s="626"/>
      <c r="N84" s="626"/>
      <c r="O84" s="626"/>
      <c r="P84" s="626"/>
      <c r="Q84" s="626"/>
      <c r="R84" s="626"/>
      <c r="S84" s="626"/>
      <c r="T84" s="626"/>
      <c r="U84" s="626"/>
      <c r="V84" s="626"/>
      <c r="W84" s="626"/>
      <c r="X84" s="626"/>
      <c r="Y84" s="626"/>
      <c r="Z84" s="626"/>
      <c r="AA84" s="626"/>
      <c r="AB84" s="626"/>
      <c r="AC84" s="626"/>
      <c r="AD84" s="626"/>
      <c r="AE84" s="627"/>
    </row>
    <row r="85" spans="1:34" ht="7.5" customHeight="1" x14ac:dyDescent="0.2">
      <c r="A85" s="400"/>
      <c r="I85" s="430"/>
      <c r="J85" s="430"/>
      <c r="K85" s="430"/>
      <c r="L85" s="430"/>
      <c r="M85" s="430"/>
      <c r="N85" s="430"/>
      <c r="O85" s="430"/>
      <c r="P85" s="430"/>
      <c r="Q85" s="430"/>
      <c r="R85" s="430"/>
      <c r="S85" s="430"/>
      <c r="T85" s="430"/>
      <c r="U85" s="430"/>
      <c r="V85" s="430"/>
      <c r="W85" s="430"/>
      <c r="X85" s="431"/>
      <c r="Y85" s="431"/>
      <c r="Z85" s="431"/>
      <c r="AA85" s="431"/>
      <c r="AB85" s="431"/>
      <c r="AC85" s="431"/>
      <c r="AD85" s="431"/>
      <c r="AE85" s="431"/>
    </row>
    <row r="86" spans="1:34" ht="15" x14ac:dyDescent="0.2">
      <c r="A86" s="400" t="s">
        <v>322</v>
      </c>
      <c r="I86" s="402"/>
      <c r="J86" s="402"/>
      <c r="K86" s="402"/>
      <c r="L86" s="402"/>
      <c r="M86" s="402"/>
      <c r="N86" s="402"/>
      <c r="O86" s="402"/>
      <c r="P86" s="402"/>
      <c r="Q86" s="625" t="str">
        <f>Ввод!B30</f>
        <v>нет</v>
      </c>
      <c r="R86" s="626"/>
      <c r="S86" s="626"/>
      <c r="T86" s="626"/>
      <c r="U86" s="626"/>
      <c r="V86" s="626"/>
      <c r="W86" s="626"/>
      <c r="X86" s="626"/>
      <c r="Y86" s="626"/>
      <c r="Z86" s="626"/>
      <c r="AA86" s="626"/>
      <c r="AB86" s="626"/>
      <c r="AC86" s="626"/>
      <c r="AD86" s="626"/>
      <c r="AE86" s="627"/>
    </row>
    <row r="87" spans="1:34" ht="7.5" customHeight="1" x14ac:dyDescent="0.2">
      <c r="A87" s="400"/>
      <c r="I87" s="402"/>
      <c r="J87" s="402"/>
      <c r="K87" s="402"/>
      <c r="L87" s="402"/>
      <c r="M87" s="402"/>
      <c r="N87" s="402"/>
      <c r="O87" s="402"/>
      <c r="P87" s="402"/>
      <c r="Q87" s="402"/>
      <c r="R87" s="430"/>
      <c r="S87" s="430"/>
      <c r="T87" s="430"/>
      <c r="U87" s="430"/>
      <c r="V87" s="430"/>
      <c r="W87" s="430"/>
      <c r="X87" s="430"/>
      <c r="Y87" s="430"/>
      <c r="Z87" s="430"/>
      <c r="AA87" s="430"/>
      <c r="AB87" s="430"/>
      <c r="AC87" s="430"/>
      <c r="AD87" s="430"/>
      <c r="AE87" s="430"/>
    </row>
    <row r="88" spans="1:34" ht="15" customHeight="1" x14ac:dyDescent="0.2">
      <c r="A88" s="628" t="s">
        <v>323</v>
      </c>
      <c r="B88" s="628"/>
      <c r="C88" s="628"/>
      <c r="D88" s="628"/>
      <c r="E88" s="628"/>
      <c r="F88" s="628"/>
      <c r="G88" s="628"/>
      <c r="H88" s="628"/>
      <c r="I88" s="628"/>
      <c r="J88" s="628"/>
      <c r="K88" s="628"/>
      <c r="L88" s="628"/>
      <c r="M88" s="629" t="str">
        <f>Ввод!B37</f>
        <v>нормальное</v>
      </c>
      <c r="N88" s="606"/>
      <c r="O88" s="606"/>
      <c r="P88" s="606"/>
      <c r="Q88" s="606"/>
      <c r="R88" s="606"/>
      <c r="S88" s="606"/>
      <c r="T88" s="606"/>
      <c r="U88" s="606"/>
      <c r="V88" s="606"/>
      <c r="W88" s="606"/>
      <c r="X88" s="606"/>
      <c r="Y88" s="606"/>
      <c r="Z88" s="606"/>
      <c r="AA88" s="606"/>
      <c r="AB88" s="606"/>
      <c r="AC88" s="606"/>
      <c r="AD88" s="606"/>
      <c r="AE88" s="607"/>
    </row>
    <row r="89" spans="1:34" ht="5.25" customHeight="1" x14ac:dyDescent="0.2">
      <c r="A89" s="628"/>
      <c r="B89" s="628"/>
      <c r="C89" s="628"/>
      <c r="D89" s="628"/>
      <c r="E89" s="628"/>
      <c r="F89" s="628"/>
      <c r="G89" s="628"/>
      <c r="H89" s="628"/>
      <c r="I89" s="628"/>
      <c r="J89" s="628"/>
      <c r="K89" s="628"/>
      <c r="L89" s="628"/>
      <c r="M89" s="611"/>
      <c r="N89" s="612"/>
      <c r="O89" s="612"/>
      <c r="P89" s="612"/>
      <c r="Q89" s="612"/>
      <c r="R89" s="612"/>
      <c r="S89" s="612"/>
      <c r="T89" s="612"/>
      <c r="U89" s="612"/>
      <c r="V89" s="612"/>
      <c r="W89" s="612"/>
      <c r="X89" s="612"/>
      <c r="Y89" s="612"/>
      <c r="Z89" s="612"/>
      <c r="AA89" s="612"/>
      <c r="AB89" s="612"/>
      <c r="AC89" s="612"/>
      <c r="AD89" s="612"/>
      <c r="AE89" s="613"/>
    </row>
    <row r="90" spans="1:34" ht="3.75" customHeight="1" x14ac:dyDescent="0.2">
      <c r="A90" s="628"/>
      <c r="B90" s="628"/>
      <c r="C90" s="628"/>
      <c r="D90" s="628"/>
      <c r="E90" s="628"/>
      <c r="F90" s="628"/>
      <c r="G90" s="628"/>
      <c r="H90" s="628"/>
      <c r="I90" s="628"/>
      <c r="J90" s="628"/>
      <c r="K90" s="628"/>
      <c r="L90" s="628"/>
    </row>
    <row r="91" spans="1:34" ht="5.25" customHeight="1" x14ac:dyDescent="0.2">
      <c r="A91" s="630"/>
      <c r="B91" s="630"/>
      <c r="C91" s="630"/>
      <c r="D91" s="630"/>
      <c r="E91" s="630"/>
      <c r="F91" s="630"/>
      <c r="G91" s="630"/>
      <c r="H91" s="630"/>
      <c r="I91" s="630"/>
      <c r="J91" s="630"/>
      <c r="K91" s="630"/>
      <c r="L91" s="630"/>
      <c r="M91" s="630"/>
      <c r="N91" s="630"/>
      <c r="O91" s="630"/>
      <c r="P91" s="630"/>
      <c r="Q91" s="630"/>
      <c r="R91" s="630"/>
      <c r="S91" s="630"/>
      <c r="T91" s="630"/>
      <c r="U91" s="630"/>
      <c r="V91" s="630"/>
      <c r="W91" s="630"/>
      <c r="X91" s="630"/>
      <c r="Y91" s="630"/>
      <c r="Z91" s="630"/>
      <c r="AA91" s="630"/>
      <c r="AB91" s="630"/>
      <c r="AC91" s="630"/>
      <c r="AD91" s="630"/>
      <c r="AE91" s="630"/>
    </row>
    <row r="92" spans="1:34" ht="12" customHeight="1" x14ac:dyDescent="0.2">
      <c r="A92" s="432" t="s">
        <v>324</v>
      </c>
    </row>
    <row r="93" spans="1:34" ht="9" customHeight="1" x14ac:dyDescent="0.2"/>
    <row r="94" spans="1:34" ht="33" customHeight="1" x14ac:dyDescent="0.2">
      <c r="A94" s="618" t="s">
        <v>325</v>
      </c>
      <c r="B94" s="619"/>
      <c r="C94" s="618" t="s">
        <v>326</v>
      </c>
      <c r="D94" s="620"/>
      <c r="E94" s="620"/>
      <c r="F94" s="620"/>
      <c r="G94" s="620"/>
      <c r="H94" s="618" t="s">
        <v>327</v>
      </c>
      <c r="I94" s="620"/>
      <c r="J94" s="620"/>
      <c r="K94" s="620"/>
      <c r="L94" s="620"/>
      <c r="M94" s="620"/>
      <c r="N94" s="620"/>
      <c r="O94" s="620"/>
      <c r="P94" s="620"/>
      <c r="Q94" s="620"/>
      <c r="R94" s="620"/>
      <c r="S94" s="619"/>
      <c r="T94" s="618" t="s">
        <v>328</v>
      </c>
      <c r="U94" s="620"/>
      <c r="V94" s="620"/>
      <c r="W94" s="620"/>
      <c r="X94" s="619"/>
      <c r="Y94" s="618" t="s">
        <v>329</v>
      </c>
      <c r="Z94" s="620"/>
      <c r="AA94" s="620"/>
      <c r="AB94" s="620"/>
      <c r="AC94" s="620"/>
      <c r="AD94" s="620"/>
      <c r="AE94" s="619"/>
    </row>
    <row r="95" spans="1:34" ht="21" customHeight="1" x14ac:dyDescent="0.2">
      <c r="A95" s="614">
        <v>1</v>
      </c>
      <c r="B95" s="614"/>
      <c r="C95" s="615" t="s">
        <v>330</v>
      </c>
      <c r="D95" s="615"/>
      <c r="E95" s="615"/>
      <c r="F95" s="615"/>
      <c r="G95" s="615"/>
      <c r="H95" s="616" t="str">
        <f>IF(AG95&lt;0.1,"Видимые следы износа и нарушений отстутствуют",IF(AG95&lt;0.2,"Мелкие трещины в цоколе, местные нарушения штукатурного слоя цоколя ",IF(AG95&lt;0.35,"Трещины в швах между блоками","Трещины, выкрошивания и местные разрушения, выщелачивание раствора в швах между блоками на глубину до 10 см")))</f>
        <v xml:space="preserve">Мелкие трещины в цоколе, местные нарушения штукатурного слоя цоколя </v>
      </c>
      <c r="I95" s="616"/>
      <c r="J95" s="616"/>
      <c r="K95" s="616"/>
      <c r="L95" s="616"/>
      <c r="M95" s="616"/>
      <c r="N95" s="616"/>
      <c r="O95" s="616"/>
      <c r="P95" s="616"/>
      <c r="Q95" s="616"/>
      <c r="R95" s="616"/>
      <c r="S95" s="616"/>
      <c r="T95" s="617">
        <f>'Акт осмотра'!AG95</f>
        <v>0.15</v>
      </c>
      <c r="U95" s="617"/>
      <c r="V95" s="617"/>
      <c r="W95" s="617"/>
      <c r="X95" s="617"/>
      <c r="Y95" s="621" t="str">
        <f>IF(AG95&lt;0.1,"Ремонт не требуется",IF(AG95&lt;0.2,"Текущий ремонт",IF(AG95&lt;0.35,"Заполнение швов, ремонт штукатурки","Ремонт фундамента, усиление фундамента")))</f>
        <v>Текущий ремонт</v>
      </c>
      <c r="Z95" s="621"/>
      <c r="AA95" s="621"/>
      <c r="AB95" s="621"/>
      <c r="AC95" s="621"/>
      <c r="AD95" s="621"/>
      <c r="AE95" s="621"/>
      <c r="AF95" s="419" t="s">
        <v>331</v>
      </c>
      <c r="AG95" s="433">
        <f>VALUE(Ввод!B38)/100</f>
        <v>0.15</v>
      </c>
    </row>
    <row r="96" spans="1:34" ht="21" customHeight="1" x14ac:dyDescent="0.2">
      <c r="A96" s="614">
        <v>2</v>
      </c>
      <c r="B96" s="614"/>
      <c r="C96" s="615" t="s">
        <v>332</v>
      </c>
      <c r="D96" s="615"/>
      <c r="E96" s="615"/>
      <c r="F96" s="615"/>
      <c r="G96" s="615"/>
      <c r="H96" s="616" t="str">
        <f>IF(AG95&lt;0.1,"Видимые следы износа стен и нарушения отстутствуют",IF(AG95&lt;0.2,"Мелкие выбоины, местные нарушения покрытий фасада",IF(AG95&lt;0.35,"Трещины покрытий фасада, местные выбоины ","Диагональные трещины по углам простенков")))</f>
        <v>Мелкие выбоины, местные нарушения покрытий фасада</v>
      </c>
      <c r="I96" s="616"/>
      <c r="J96" s="616"/>
      <c r="K96" s="616"/>
      <c r="L96" s="616"/>
      <c r="M96" s="616"/>
      <c r="N96" s="616"/>
      <c r="O96" s="616"/>
      <c r="P96" s="616"/>
      <c r="Q96" s="616"/>
      <c r="R96" s="616"/>
      <c r="S96" s="616"/>
      <c r="T96" s="617">
        <f>AG95</f>
        <v>0.15</v>
      </c>
      <c r="U96" s="617"/>
      <c r="V96" s="617"/>
      <c r="W96" s="617"/>
      <c r="X96" s="617"/>
      <c r="Y96" s="616" t="str">
        <f>IF(AG95&lt;0.1,"Ремонт не требуется",IF(AG95&lt;0.2,"Текущий и мелкий ремонт",IF(AG95&lt;0.35,"Герметизация швов, мелкий ремонт","Усиление простенков")))</f>
        <v>Текущий и мелкий ремонт</v>
      </c>
      <c r="Z96" s="616"/>
      <c r="AA96" s="616"/>
      <c r="AB96" s="616"/>
      <c r="AC96" s="616"/>
      <c r="AD96" s="616"/>
      <c r="AE96" s="616"/>
    </row>
    <row r="97" spans="1:31" ht="21" customHeight="1" x14ac:dyDescent="0.2">
      <c r="A97" s="614">
        <v>3</v>
      </c>
      <c r="B97" s="614"/>
      <c r="C97" s="615" t="s">
        <v>333</v>
      </c>
      <c r="D97" s="615"/>
      <c r="E97" s="615"/>
      <c r="F97" s="615"/>
      <c r="G97" s="615"/>
      <c r="H97" s="616" t="str">
        <f>IF(AG95&lt;0.1,"Видимые следы износа перегородок отстутствуют",IF(AG95&lt;0.2,"Отдельные выкрашивания раствора в местах сопряжений",IF(AG95&lt;0.35,"Волосные трещины в местах сопряжений","Сколы и сквозные трещины")))</f>
        <v>Отдельные выкрашивания раствора в местах сопряжений</v>
      </c>
      <c r="I97" s="616"/>
      <c r="J97" s="616"/>
      <c r="K97" s="616"/>
      <c r="L97" s="616"/>
      <c r="M97" s="616"/>
      <c r="N97" s="616"/>
      <c r="O97" s="616"/>
      <c r="P97" s="616"/>
      <c r="Q97" s="616"/>
      <c r="R97" s="616"/>
      <c r="S97" s="616"/>
      <c r="T97" s="617">
        <f>AG95</f>
        <v>0.15</v>
      </c>
      <c r="U97" s="617"/>
      <c r="V97" s="617"/>
      <c r="W97" s="617"/>
      <c r="X97" s="617"/>
      <c r="Y97" s="616" t="str">
        <f>IF(AG95&lt;0.1,"Ремонт не требуется",IF(AG95&lt;0.2,"Текущий и мелкий ремонт стен",IF(AG95&lt;0.35,"Заделка стыков, укрепление панелей","Усиление перегородок")))</f>
        <v>Текущий и мелкий ремонт стен</v>
      </c>
      <c r="Z97" s="616"/>
      <c r="AA97" s="616"/>
      <c r="AB97" s="616"/>
      <c r="AC97" s="616"/>
      <c r="AD97" s="616"/>
      <c r="AE97" s="616"/>
    </row>
    <row r="98" spans="1:31" ht="21" customHeight="1" x14ac:dyDescent="0.2">
      <c r="A98" s="614">
        <v>4</v>
      </c>
      <c r="B98" s="614"/>
      <c r="C98" s="615" t="s">
        <v>334</v>
      </c>
      <c r="D98" s="615"/>
      <c r="E98" s="615"/>
      <c r="F98" s="615"/>
      <c r="G98" s="615"/>
      <c r="H98" s="616" t="str">
        <f>IF(AG95&lt;0.1,"Видимые следы износа перекрытий отстутствуют",IF(AG95&lt;0.2,"Отдельные неровности",IF(AG95&lt;0.35,"Отслоения выравнивающего слоя, незначительные смещения","Трещины в пролетах плит и сырость")))</f>
        <v>Отдельные неровности</v>
      </c>
      <c r="I98" s="616"/>
      <c r="J98" s="616"/>
      <c r="K98" s="616"/>
      <c r="L98" s="616"/>
      <c r="M98" s="616"/>
      <c r="N98" s="616"/>
      <c r="O98" s="616"/>
      <c r="P98" s="616"/>
      <c r="Q98" s="616"/>
      <c r="R98" s="616"/>
      <c r="S98" s="616"/>
      <c r="T98" s="617">
        <f>AG95</f>
        <v>0.15</v>
      </c>
      <c r="U98" s="617"/>
      <c r="V98" s="617"/>
      <c r="W98" s="617"/>
      <c r="X98" s="617"/>
      <c r="Y98" s="616" t="str">
        <f>IF(AG95&lt;0.1,"Ремонт не требуется",IF(AG95&lt;0.2,"Текущий и мелкий ремонт, выравнивание поверхностей",IF(AG95&lt;0.35,"Отдельные укрепления мест опирания","Усиление плит")))</f>
        <v>Текущий и мелкий ремонт, выравнивание поверхностей</v>
      </c>
      <c r="Z98" s="616"/>
      <c r="AA98" s="616"/>
      <c r="AB98" s="616"/>
      <c r="AC98" s="616"/>
      <c r="AD98" s="616"/>
      <c r="AE98" s="616"/>
    </row>
    <row r="99" spans="1:31" ht="21" customHeight="1" x14ac:dyDescent="0.2">
      <c r="A99" s="614">
        <v>5</v>
      </c>
      <c r="B99" s="614"/>
      <c r="C99" s="615" t="s">
        <v>335</v>
      </c>
      <c r="D99" s="615"/>
      <c r="E99" s="615"/>
      <c r="F99" s="615"/>
      <c r="G99" s="615"/>
      <c r="H99" s="616" t="str">
        <f>IF(AG95&lt;0.1,"Видимые следы износа кровли отстутствуют",IF(AG95&lt;0.2,"Мелкие повреждения деревянных деталей",IF(AG95&lt;0.35,"Мелкие нарушения продухов","Неглубокие поперечные трещины")))</f>
        <v>Мелкие повреждения деревянных деталей</v>
      </c>
      <c r="I99" s="616"/>
      <c r="J99" s="616"/>
      <c r="K99" s="616"/>
      <c r="L99" s="616"/>
      <c r="M99" s="616"/>
      <c r="N99" s="616"/>
      <c r="O99" s="616"/>
      <c r="P99" s="616"/>
      <c r="Q99" s="616"/>
      <c r="R99" s="616"/>
      <c r="S99" s="616"/>
      <c r="T99" s="617">
        <f>AG95</f>
        <v>0.15</v>
      </c>
      <c r="U99" s="617"/>
      <c r="V99" s="617"/>
      <c r="W99" s="617"/>
      <c r="X99" s="617"/>
      <c r="Y99" s="616" t="str">
        <f>IF(AG95&lt;0.1,"Ремонт не требуется",IF(AG95&lt;0.2,"Текущий ремонт кровли",IF(AG95&lt;0.35,"Текущий и мелкий ремонт","Усиление стропильной системы")))</f>
        <v>Текущий ремонт кровли</v>
      </c>
      <c r="Z99" s="616"/>
      <c r="AA99" s="616"/>
      <c r="AB99" s="616"/>
      <c r="AC99" s="616"/>
      <c r="AD99" s="616"/>
      <c r="AE99" s="616"/>
    </row>
    <row r="100" spans="1:31" ht="21" customHeight="1" x14ac:dyDescent="0.2">
      <c r="A100" s="614">
        <v>6</v>
      </c>
      <c r="B100" s="614"/>
      <c r="C100" s="615" t="s">
        <v>336</v>
      </c>
      <c r="D100" s="615"/>
      <c r="E100" s="615"/>
      <c r="F100" s="615"/>
      <c r="G100" s="615"/>
      <c r="H100" s="616" t="str">
        <f>IF(AG95&lt;0.1,"Видимые следы износа пола отстутствуют",IF(AG95&lt;0.2,"Мелкие повреждения плинтусов",IF(AG95&lt;0.35,"Стертости в ходовых частях","Отдельные выбоины и отставания покрытия")))</f>
        <v>Мелкие повреждения плинтусов</v>
      </c>
      <c r="I100" s="616"/>
      <c r="J100" s="616"/>
      <c r="K100" s="616"/>
      <c r="L100" s="616"/>
      <c r="M100" s="616"/>
      <c r="N100" s="616"/>
      <c r="O100" s="616"/>
      <c r="P100" s="616"/>
      <c r="Q100" s="616"/>
      <c r="R100" s="616"/>
      <c r="S100" s="616"/>
      <c r="T100" s="617">
        <f>AG95</f>
        <v>0.15</v>
      </c>
      <c r="U100" s="617"/>
      <c r="V100" s="617"/>
      <c r="W100" s="617"/>
      <c r="X100" s="617"/>
      <c r="Y100" s="616" t="str">
        <f>IF(AG95&lt;0.1,"Ремонт не требуется",IF(AG95&lt;0.25,"Текущий ремонт пола",IF(AG95&lt;0.35,"Замена покрытия в ходовых частях","Замена покрытия пола")))</f>
        <v>Текущий ремонт пола</v>
      </c>
      <c r="Z100" s="616"/>
      <c r="AA100" s="616"/>
      <c r="AB100" s="616"/>
      <c r="AC100" s="616"/>
      <c r="AD100" s="616"/>
      <c r="AE100" s="616"/>
    </row>
    <row r="101" spans="1:31" ht="21" customHeight="1" x14ac:dyDescent="0.2">
      <c r="A101" s="614">
        <v>7</v>
      </c>
      <c r="B101" s="614"/>
      <c r="C101" s="615" t="s">
        <v>337</v>
      </c>
      <c r="D101" s="615"/>
      <c r="E101" s="615"/>
      <c r="F101" s="615"/>
      <c r="G101" s="615"/>
      <c r="H101" s="616" t="str">
        <f>IF(AG95&lt;0.1,"Видимые следы износа окон отстутствуют",IF(AG95&lt;0.2,"Местное отставание замазки",IF(AG95&lt;0.35,"Стертости в притворах","Расшатанность в углах, коробления местные")))</f>
        <v>Местное отставание замазки</v>
      </c>
      <c r="I101" s="616"/>
      <c r="J101" s="616"/>
      <c r="K101" s="616"/>
      <c r="L101" s="616"/>
      <c r="M101" s="616"/>
      <c r="N101" s="616"/>
      <c r="O101" s="616"/>
      <c r="P101" s="616"/>
      <c r="Q101" s="616"/>
      <c r="R101" s="616"/>
      <c r="S101" s="616"/>
      <c r="T101" s="617">
        <f>AG95</f>
        <v>0.15</v>
      </c>
      <c r="U101" s="617"/>
      <c r="V101" s="617"/>
      <c r="W101" s="617"/>
      <c r="X101" s="617"/>
      <c r="Y101" s="616" t="str">
        <f>IF(AG95&lt;0.1,"Ремонт не требуется",IF(AG95&lt;0.25,"Текущий и мелкий ремонт окон",IF(AG95&lt;0.35,"Укрепление соединений накладками","Ремонт с добавлением новых материалов")))</f>
        <v>Текущий и мелкий ремонт окон</v>
      </c>
      <c r="Z101" s="616"/>
      <c r="AA101" s="616"/>
      <c r="AB101" s="616"/>
      <c r="AC101" s="616"/>
      <c r="AD101" s="616"/>
      <c r="AE101" s="616"/>
    </row>
    <row r="102" spans="1:31" ht="21" customHeight="1" x14ac:dyDescent="0.2">
      <c r="A102" s="614">
        <v>8</v>
      </c>
      <c r="B102" s="614"/>
      <c r="C102" s="615" t="s">
        <v>338</v>
      </c>
      <c r="D102" s="615"/>
      <c r="E102" s="615"/>
      <c r="F102" s="615"/>
      <c r="G102" s="615"/>
      <c r="H102" s="616" t="str">
        <f>IF(AG95&lt;0.1,"Видимые следы износа дверей отстутствуют",IF(AG95&lt;0.2,"Отдельные щели в притворах",IF(AG95&lt;0.35,"Стертости в дверных полотнах, отдельные оседания","Повреждения наличников, неисправность приборов")))</f>
        <v>Отдельные щели в притворах</v>
      </c>
      <c r="I102" s="616"/>
      <c r="J102" s="616"/>
      <c r="K102" s="616"/>
      <c r="L102" s="616"/>
      <c r="M102" s="616"/>
      <c r="N102" s="616"/>
      <c r="O102" s="616"/>
      <c r="P102" s="616"/>
      <c r="Q102" s="616"/>
      <c r="R102" s="616"/>
      <c r="S102" s="616"/>
      <c r="T102" s="617">
        <f>AG95</f>
        <v>0.15</v>
      </c>
      <c r="U102" s="617"/>
      <c r="V102" s="617"/>
      <c r="W102" s="617"/>
      <c r="X102" s="617"/>
      <c r="Y102" s="616" t="str">
        <f>IF(AG95&lt;0.1,"Ремонт не требуется",IF(AG95&lt;0.25,"Текущий и мелкий ремонт дверей",IF(AG95&lt;0.35,"Ремонт с заменой до 30% приборов","Ремонт дверных коробок")))</f>
        <v>Текущий и мелкий ремонт дверей</v>
      </c>
      <c r="Z102" s="616"/>
      <c r="AA102" s="616"/>
      <c r="AB102" s="616"/>
      <c r="AC102" s="616"/>
      <c r="AD102" s="616"/>
      <c r="AE102" s="616"/>
    </row>
    <row r="103" spans="1:31" ht="21" customHeight="1" x14ac:dyDescent="0.2">
      <c r="A103" s="614">
        <v>9</v>
      </c>
      <c r="B103" s="614"/>
      <c r="C103" s="615" t="s">
        <v>339</v>
      </c>
      <c r="D103" s="615"/>
      <c r="E103" s="615"/>
      <c r="F103" s="615"/>
      <c r="G103" s="615"/>
      <c r="H103" s="616" t="str">
        <f>IF(AG95&lt;0.1,"Видимые следы износа устройств отстутствуют",IF(AG95&lt;0.2,"Отдельные повреждения покрытия",IF(AG95&lt;0.35,"Капельные течи в местах сопряжений","Проржавления труб местами")))</f>
        <v>Отдельные повреждения покрытия</v>
      </c>
      <c r="I103" s="616"/>
      <c r="J103" s="616"/>
      <c r="K103" s="616"/>
      <c r="L103" s="616"/>
      <c r="M103" s="616"/>
      <c r="N103" s="616"/>
      <c r="O103" s="616"/>
      <c r="P103" s="616"/>
      <c r="Q103" s="616"/>
      <c r="R103" s="616"/>
      <c r="S103" s="616"/>
      <c r="T103" s="617">
        <f>AG95</f>
        <v>0.15</v>
      </c>
      <c r="U103" s="617"/>
      <c r="V103" s="617"/>
      <c r="W103" s="617"/>
      <c r="X103" s="617"/>
      <c r="Y103" s="616" t="str">
        <f>IF(AG95&lt;0.1,"Ремонт не требуется",IF(AG95&lt;0.25,"Текущий ремонт технических устройств",IF(AG95&lt;0.35,"Ремонт с заменой арматуры","Ремонт водоканализационного трубопровода")))</f>
        <v>Текущий ремонт технических устройств</v>
      </c>
      <c r="Z103" s="616"/>
      <c r="AA103" s="616"/>
      <c r="AB103" s="616"/>
      <c r="AC103" s="616"/>
      <c r="AD103" s="616"/>
      <c r="AE103" s="616"/>
    </row>
    <row r="104" spans="1:31" ht="21" customHeight="1" x14ac:dyDescent="0.2">
      <c r="A104" s="614">
        <v>10</v>
      </c>
      <c r="B104" s="614"/>
      <c r="C104" s="615" t="s">
        <v>340</v>
      </c>
      <c r="D104" s="615"/>
      <c r="E104" s="615"/>
      <c r="F104" s="615"/>
      <c r="G104" s="615"/>
      <c r="H104" s="616" t="str">
        <f>IF(AG95&lt;0.1,"Видимые следы износа отстутствуют",IF(AG95&lt;0.2,"Отдельные повреждения накрывочного слоя",IF(AG95&lt;0.35,"Отставания штукатурки менее 3%","Выпучивания штукатурки менее 15%")))</f>
        <v>Отдельные повреждения накрывочного слоя</v>
      </c>
      <c r="I104" s="616"/>
      <c r="J104" s="616"/>
      <c r="K104" s="616"/>
      <c r="L104" s="616"/>
      <c r="M104" s="616"/>
      <c r="N104" s="616"/>
      <c r="O104" s="616"/>
      <c r="P104" s="616"/>
      <c r="Q104" s="616"/>
      <c r="R104" s="616"/>
      <c r="S104" s="616"/>
      <c r="T104" s="617">
        <f>AG95</f>
        <v>0.15</v>
      </c>
      <c r="U104" s="617"/>
      <c r="V104" s="617"/>
      <c r="W104" s="617"/>
      <c r="X104" s="617"/>
      <c r="Y104" s="616" t="str">
        <f>IF(AG95&lt;0.1,"Ремонт не требуется",IF(AG95&lt;0.25,"Текущий ремонт накрывочного слоя",IF(AG95&lt;0.35,"Ремонт с подготовкой поверхности менее 10%","Ремонт с подготовкой поверхности менее 25%")))</f>
        <v>Текущий ремонт накрывочного слоя</v>
      </c>
      <c r="Z104" s="616"/>
      <c r="AA104" s="616"/>
      <c r="AB104" s="616"/>
      <c r="AC104" s="616"/>
      <c r="AD104" s="616"/>
      <c r="AE104" s="616"/>
    </row>
    <row r="105" spans="1:31" ht="21" customHeight="1" x14ac:dyDescent="0.2">
      <c r="A105" s="614">
        <v>11</v>
      </c>
      <c r="B105" s="614"/>
      <c r="C105" s="615" t="s">
        <v>341</v>
      </c>
      <c r="D105" s="615"/>
      <c r="E105" s="615"/>
      <c r="F105" s="615"/>
      <c r="G105" s="615"/>
      <c r="H105" s="616" t="str">
        <f>IF(AG95&lt;0.1,"Видимые следы износа отстутствуют",IF(AG95&lt;0.2,"Редкие волосные трещины",IF(AG95&lt;0.35,"Отдельные повреждения","Отдельные поперечные трещины")))</f>
        <v>Редкие волосные трещины</v>
      </c>
      <c r="I105" s="616"/>
      <c r="J105" s="616"/>
      <c r="K105" s="616"/>
      <c r="L105" s="616"/>
      <c r="M105" s="616"/>
      <c r="N105" s="616"/>
      <c r="O105" s="616"/>
      <c r="P105" s="616"/>
      <c r="Q105" s="616"/>
      <c r="R105" s="616"/>
      <c r="S105" s="616"/>
      <c r="T105" s="617">
        <f>AG95</f>
        <v>0.15</v>
      </c>
      <c r="U105" s="617"/>
      <c r="V105" s="617"/>
      <c r="W105" s="617"/>
      <c r="X105" s="617"/>
      <c r="Y105" s="616" t="str">
        <f>IF(AG95&lt;0.1,"Ремонт не требуется",IF(AG95&lt;0.25,"Текущий и мелкий ремонт",IF(AG95&lt;0.35,"Заделка нарушенных мест","Заделка и замена нарушенных мест")))</f>
        <v>Текущий и мелкий ремонт</v>
      </c>
      <c r="Z105" s="616"/>
      <c r="AA105" s="616"/>
      <c r="AB105" s="616"/>
      <c r="AC105" s="616"/>
      <c r="AD105" s="616"/>
      <c r="AE105" s="616"/>
    </row>
    <row r="106" spans="1:31" ht="3.75" customHeight="1" x14ac:dyDescent="0.2"/>
    <row r="107" spans="1:31" ht="2.25" customHeight="1" x14ac:dyDescent="0.2"/>
    <row r="108" spans="1:31" ht="27.75" customHeight="1" x14ac:dyDescent="0.2">
      <c r="A108" s="602" t="s">
        <v>342</v>
      </c>
      <c r="B108" s="602"/>
      <c r="C108" s="602"/>
      <c r="D108" s="602"/>
      <c r="E108" s="602"/>
      <c r="F108" s="602"/>
      <c r="G108" s="602"/>
      <c r="H108" s="602"/>
      <c r="I108" s="602"/>
      <c r="J108" s="602"/>
      <c r="K108" s="602"/>
      <c r="L108" s="602"/>
      <c r="M108" s="602"/>
      <c r="N108" s="602"/>
      <c r="O108" s="602"/>
      <c r="P108" s="602"/>
      <c r="Q108" s="602"/>
      <c r="R108" s="602"/>
      <c r="S108" s="602"/>
      <c r="T108" s="602"/>
      <c r="U108" s="602"/>
      <c r="V108" s="602"/>
      <c r="W108" s="602"/>
      <c r="X108" s="602"/>
      <c r="Y108" s="602"/>
      <c r="Z108" s="602"/>
      <c r="AA108" s="602"/>
      <c r="AB108" s="602"/>
      <c r="AC108" s="602"/>
      <c r="AD108" s="602"/>
      <c r="AE108" s="602"/>
    </row>
    <row r="109" spans="1:31" ht="6" customHeight="1" x14ac:dyDescent="0.2">
      <c r="A109" s="413"/>
      <c r="B109" s="413"/>
      <c r="C109" s="413"/>
      <c r="D109" s="413"/>
      <c r="E109" s="413"/>
      <c r="F109" s="413"/>
      <c r="G109" s="413"/>
      <c r="H109" s="413"/>
      <c r="I109" s="413"/>
      <c r="J109" s="413"/>
      <c r="K109" s="413"/>
      <c r="L109" s="413"/>
      <c r="M109" s="413"/>
      <c r="N109" s="413"/>
      <c r="O109" s="413"/>
      <c r="P109" s="413"/>
      <c r="Q109" s="413"/>
      <c r="R109" s="413"/>
      <c r="S109" s="413"/>
      <c r="T109" s="413"/>
      <c r="U109" s="413"/>
      <c r="V109" s="413"/>
      <c r="W109" s="413"/>
      <c r="X109" s="413"/>
      <c r="Y109" s="413"/>
      <c r="Z109" s="413"/>
      <c r="AA109" s="413"/>
      <c r="AB109" s="413"/>
      <c r="AC109" s="413"/>
      <c r="AD109" s="413"/>
      <c r="AE109" s="413"/>
    </row>
    <row r="110" spans="1:31" ht="12" customHeight="1" x14ac:dyDescent="0.2">
      <c r="A110" s="603" t="str">
        <f>IF(AG95&lt;0.1,"Ремонт не требуется, повреждений и деформаций нет. Дефекты конструктивных элементов и инженерного оборудования отсутствуют",IF(AG95&lt;0.25,"Повреждений и деформаций нет. Имеются отдельные, устраняемые при текущем и малом ремонте, мелкие дефекты, не влияющие на эксплуатацию конструктивного элемента.",IF(AG95&lt;0.35,"Конструктивные элементы в целом пригодны для эксплуатации, но требуют некоторого малого и текущего ремонта, который наиболее целесообразен именно на данной стадии.","Эксплуатация конструктивных элементов возможна лишь при условии ремонта.")))</f>
        <v>Повреждений и деформаций нет. Имеются отдельные, устраняемые при текущем и малом ремонте, мелкие дефекты, не влияющие на эксплуатацию конструктивного элемента.</v>
      </c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5"/>
    </row>
    <row r="111" spans="1:31" ht="12" customHeight="1" x14ac:dyDescent="0.2">
      <c r="A111" s="596"/>
      <c r="B111" s="597"/>
      <c r="C111" s="597"/>
      <c r="D111" s="597"/>
      <c r="E111" s="597"/>
      <c r="F111" s="597"/>
      <c r="G111" s="597"/>
      <c r="H111" s="597"/>
      <c r="I111" s="597"/>
      <c r="J111" s="597"/>
      <c r="K111" s="597"/>
      <c r="L111" s="597"/>
      <c r="M111" s="597"/>
      <c r="N111" s="597"/>
      <c r="O111" s="597"/>
      <c r="P111" s="597"/>
      <c r="Q111" s="597"/>
      <c r="R111" s="597"/>
      <c r="S111" s="597"/>
      <c r="T111" s="597"/>
      <c r="U111" s="597"/>
      <c r="V111" s="597"/>
      <c r="W111" s="597"/>
      <c r="X111" s="597"/>
      <c r="Y111" s="597"/>
      <c r="Z111" s="597"/>
      <c r="AA111" s="597"/>
      <c r="AB111" s="597"/>
      <c r="AC111" s="597"/>
      <c r="AD111" s="597"/>
      <c r="AE111" s="598"/>
    </row>
    <row r="112" spans="1:31" ht="12" customHeight="1" x14ac:dyDescent="0.2">
      <c r="A112" s="596"/>
      <c r="B112" s="597"/>
      <c r="C112" s="597"/>
      <c r="D112" s="597"/>
      <c r="E112" s="597"/>
      <c r="F112" s="597"/>
      <c r="G112" s="597"/>
      <c r="H112" s="597"/>
      <c r="I112" s="597"/>
      <c r="J112" s="597"/>
      <c r="K112" s="597"/>
      <c r="L112" s="597"/>
      <c r="M112" s="597"/>
      <c r="N112" s="597"/>
      <c r="O112" s="597"/>
      <c r="P112" s="597"/>
      <c r="Q112" s="597"/>
      <c r="R112" s="597"/>
      <c r="S112" s="597"/>
      <c r="T112" s="597"/>
      <c r="U112" s="597"/>
      <c r="V112" s="597"/>
      <c r="W112" s="597"/>
      <c r="X112" s="597"/>
      <c r="Y112" s="597"/>
      <c r="Z112" s="597"/>
      <c r="AA112" s="597"/>
      <c r="AB112" s="597"/>
      <c r="AC112" s="597"/>
      <c r="AD112" s="597"/>
      <c r="AE112" s="598"/>
    </row>
    <row r="113" spans="1:31" ht="12" customHeight="1" x14ac:dyDescent="0.2">
      <c r="A113" s="599"/>
      <c r="B113" s="600"/>
      <c r="C113" s="600"/>
      <c r="D113" s="600"/>
      <c r="E113" s="600"/>
      <c r="F113" s="600"/>
      <c r="G113" s="600"/>
      <c r="H113" s="600"/>
      <c r="I113" s="600"/>
      <c r="J113" s="600"/>
      <c r="K113" s="600"/>
      <c r="L113" s="600"/>
      <c r="M113" s="600"/>
      <c r="N113" s="600"/>
      <c r="O113" s="600"/>
      <c r="P113" s="600"/>
      <c r="Q113" s="600"/>
      <c r="R113" s="600"/>
      <c r="S113" s="600"/>
      <c r="T113" s="600"/>
      <c r="U113" s="600"/>
      <c r="V113" s="600"/>
      <c r="W113" s="600"/>
      <c r="X113" s="600"/>
      <c r="Y113" s="600"/>
      <c r="Z113" s="600"/>
      <c r="AA113" s="600"/>
      <c r="AB113" s="600"/>
      <c r="AC113" s="600"/>
      <c r="AD113" s="600"/>
      <c r="AE113" s="601"/>
    </row>
    <row r="114" spans="1:31" ht="4.5" customHeight="1" x14ac:dyDescent="0.2"/>
    <row r="115" spans="1:31" ht="12.75" customHeight="1" x14ac:dyDescent="0.2"/>
    <row r="116" spans="1:31" ht="26.25" customHeight="1" x14ac:dyDescent="0.2">
      <c r="A116" s="604" t="s">
        <v>343</v>
      </c>
      <c r="B116" s="604"/>
      <c r="C116" s="604"/>
      <c r="D116" s="604"/>
      <c r="E116" s="604"/>
      <c r="F116" s="604"/>
      <c r="G116" s="604"/>
      <c r="H116" s="604"/>
      <c r="I116" s="604"/>
      <c r="J116" s="604"/>
      <c r="K116" s="604"/>
      <c r="L116" s="604"/>
      <c r="M116" s="604"/>
      <c r="N116" s="604"/>
      <c r="O116" s="604"/>
      <c r="P116" s="604"/>
      <c r="Q116" s="604"/>
      <c r="R116" s="604"/>
      <c r="S116" s="604"/>
      <c r="T116" s="604"/>
      <c r="U116" s="604"/>
      <c r="V116" s="604"/>
      <c r="W116" s="604"/>
      <c r="X116" s="604"/>
      <c r="Y116" s="604"/>
      <c r="Z116" s="604"/>
      <c r="AA116" s="604"/>
      <c r="AB116" s="604"/>
      <c r="AC116" s="604"/>
      <c r="AD116" s="604"/>
      <c r="AE116" s="604"/>
    </row>
    <row r="117" spans="1:31" ht="9.75" customHeight="1" x14ac:dyDescent="0.2">
      <c r="A117" s="413"/>
      <c r="B117" s="413"/>
      <c r="C117" s="413"/>
      <c r="D117" s="413"/>
      <c r="E117" s="413"/>
      <c r="F117" s="413"/>
      <c r="G117" s="413"/>
      <c r="H117" s="413"/>
      <c r="I117" s="413"/>
      <c r="J117" s="413"/>
      <c r="K117" s="413"/>
      <c r="L117" s="413"/>
      <c r="M117" s="413"/>
      <c r="N117" s="413"/>
      <c r="O117" s="413"/>
      <c r="P117" s="413"/>
      <c r="Q117" s="413"/>
      <c r="R117" s="413"/>
      <c r="S117" s="413"/>
      <c r="T117" s="413"/>
      <c r="U117" s="413"/>
      <c r="V117" s="413"/>
      <c r="W117" s="413"/>
      <c r="X117" s="413"/>
      <c r="Y117" s="413"/>
      <c r="Z117" s="413"/>
      <c r="AA117" s="413"/>
      <c r="AB117" s="413"/>
      <c r="AC117" s="413"/>
      <c r="AD117" s="413"/>
      <c r="AE117" s="413"/>
    </row>
    <row r="118" spans="1:31" ht="14.25" customHeight="1" x14ac:dyDescent="0.2">
      <c r="A118" s="605" t="str">
        <f>IF(AG95&lt;0.1,"Капитальный ремонт не требуется",IF(AG95&lt;0.25,"Капитальный ремонт не требуется, проведение не является целесообразным",IF(AG95&lt;0.35,"Капитальный ремонт не требуется, при возникновении необходимости возможен","Капитальный ремонт не требуется, при возникновении необходимости возможен")))</f>
        <v>Капитальный ремонт не требуется, проведение не является целесообразным</v>
      </c>
      <c r="B118" s="606"/>
      <c r="C118" s="606"/>
      <c r="D118" s="606"/>
      <c r="E118" s="606"/>
      <c r="F118" s="606"/>
      <c r="G118" s="606"/>
      <c r="H118" s="606"/>
      <c r="I118" s="606"/>
      <c r="J118" s="606"/>
      <c r="K118" s="606"/>
      <c r="L118" s="606"/>
      <c r="M118" s="606"/>
      <c r="N118" s="606"/>
      <c r="O118" s="606"/>
      <c r="P118" s="606"/>
      <c r="Q118" s="606"/>
      <c r="R118" s="606"/>
      <c r="S118" s="606"/>
      <c r="T118" s="606"/>
      <c r="U118" s="606"/>
      <c r="V118" s="606"/>
      <c r="W118" s="606"/>
      <c r="X118" s="606"/>
      <c r="Y118" s="606"/>
      <c r="Z118" s="606"/>
      <c r="AA118" s="606"/>
      <c r="AB118" s="606"/>
      <c r="AC118" s="606"/>
      <c r="AD118" s="606"/>
      <c r="AE118" s="607"/>
    </row>
    <row r="119" spans="1:31" ht="14.25" customHeight="1" x14ac:dyDescent="0.2">
      <c r="A119" s="608"/>
      <c r="B119" s="609"/>
      <c r="C119" s="609"/>
      <c r="D119" s="609"/>
      <c r="E119" s="609"/>
      <c r="F119" s="609"/>
      <c r="G119" s="609"/>
      <c r="H119" s="609"/>
      <c r="I119" s="609"/>
      <c r="J119" s="609"/>
      <c r="K119" s="609"/>
      <c r="L119" s="609"/>
      <c r="M119" s="609"/>
      <c r="N119" s="609"/>
      <c r="O119" s="609"/>
      <c r="P119" s="609"/>
      <c r="Q119" s="609"/>
      <c r="R119" s="609"/>
      <c r="S119" s="609"/>
      <c r="T119" s="609"/>
      <c r="U119" s="609"/>
      <c r="V119" s="609"/>
      <c r="W119" s="609"/>
      <c r="X119" s="609"/>
      <c r="Y119" s="609"/>
      <c r="Z119" s="609"/>
      <c r="AA119" s="609"/>
      <c r="AB119" s="609"/>
      <c r="AC119" s="609"/>
      <c r="AD119" s="609"/>
      <c r="AE119" s="610"/>
    </row>
    <row r="120" spans="1:31" ht="14.25" customHeight="1" x14ac:dyDescent="0.2">
      <c r="A120" s="611"/>
      <c r="B120" s="612"/>
      <c r="C120" s="612"/>
      <c r="D120" s="612"/>
      <c r="E120" s="612"/>
      <c r="F120" s="612"/>
      <c r="G120" s="612"/>
      <c r="H120" s="612"/>
      <c r="I120" s="612"/>
      <c r="J120" s="612"/>
      <c r="K120" s="612"/>
      <c r="L120" s="612"/>
      <c r="M120" s="612"/>
      <c r="N120" s="612"/>
      <c r="O120" s="612"/>
      <c r="P120" s="612"/>
      <c r="Q120" s="612"/>
      <c r="R120" s="612"/>
      <c r="S120" s="612"/>
      <c r="T120" s="612"/>
      <c r="U120" s="612"/>
      <c r="V120" s="612"/>
      <c r="W120" s="612"/>
      <c r="X120" s="612"/>
      <c r="Y120" s="612"/>
      <c r="Z120" s="612"/>
      <c r="AA120" s="612"/>
      <c r="AB120" s="612"/>
      <c r="AC120" s="612"/>
      <c r="AD120" s="612"/>
      <c r="AE120" s="613"/>
    </row>
    <row r="121" spans="1:31" ht="3" customHeight="1" x14ac:dyDescent="0.2"/>
    <row r="122" spans="1:31" ht="12" customHeight="1" x14ac:dyDescent="0.2"/>
    <row r="123" spans="1:31" ht="12.75" customHeight="1" x14ac:dyDescent="0.2">
      <c r="A123" s="400" t="s">
        <v>344</v>
      </c>
      <c r="G123" s="549"/>
      <c r="H123" s="550"/>
      <c r="I123" s="550"/>
      <c r="J123" s="550"/>
      <c r="K123" s="550"/>
      <c r="L123" s="550"/>
      <c r="M123" s="550"/>
      <c r="N123" s="550"/>
      <c r="O123" s="550"/>
      <c r="P123" s="550"/>
      <c r="Q123" s="550"/>
      <c r="R123" s="550"/>
      <c r="S123" s="550"/>
      <c r="T123" s="550"/>
      <c r="U123" s="550"/>
      <c r="V123" s="550"/>
      <c r="W123" s="550"/>
      <c r="X123" s="550"/>
      <c r="Y123" s="550"/>
      <c r="Z123" s="550"/>
      <c r="AA123" s="550"/>
      <c r="AB123" s="550"/>
      <c r="AC123" s="550"/>
      <c r="AD123" s="550"/>
      <c r="AE123" s="551"/>
    </row>
    <row r="124" spans="1:31" ht="12" customHeight="1" x14ac:dyDescent="0.2"/>
    <row r="125" spans="1:31" ht="5.25" customHeight="1" x14ac:dyDescent="0.2">
      <c r="A125" s="552"/>
      <c r="B125" s="552"/>
      <c r="C125" s="552"/>
      <c r="D125" s="552"/>
      <c r="E125" s="552"/>
      <c r="F125" s="552"/>
      <c r="G125" s="552"/>
      <c r="H125" s="552"/>
      <c r="I125" s="552"/>
      <c r="J125" s="552"/>
      <c r="K125" s="552"/>
      <c r="L125" s="552"/>
      <c r="M125" s="552"/>
      <c r="N125" s="552"/>
      <c r="O125" s="552"/>
      <c r="P125" s="552"/>
      <c r="Q125" s="552"/>
      <c r="R125" s="552"/>
      <c r="S125" s="552"/>
      <c r="T125" s="552"/>
      <c r="U125" s="552"/>
      <c r="V125" s="552"/>
      <c r="W125" s="552"/>
      <c r="X125" s="552"/>
      <c r="Y125" s="552"/>
      <c r="Z125" s="552"/>
      <c r="AA125" s="552"/>
      <c r="AB125" s="552"/>
      <c r="AC125" s="552"/>
      <c r="AD125" s="552"/>
      <c r="AE125" s="552"/>
    </row>
    <row r="126" spans="1:31" ht="18" customHeight="1" x14ac:dyDescent="0.2">
      <c r="A126" s="396" t="s">
        <v>345</v>
      </c>
    </row>
    <row r="127" spans="1:31" ht="10.5" customHeight="1" x14ac:dyDescent="0.2"/>
    <row r="128" spans="1:31" ht="6" customHeight="1" x14ac:dyDescent="0.2">
      <c r="A128" s="408"/>
      <c r="B128" s="409"/>
      <c r="C128" s="409"/>
      <c r="D128" s="409"/>
      <c r="E128" s="409"/>
      <c r="F128" s="409"/>
      <c r="G128" s="409"/>
      <c r="H128" s="409"/>
      <c r="I128" s="409"/>
      <c r="J128" s="409"/>
      <c r="K128" s="410"/>
      <c r="L128" s="408"/>
      <c r="M128" s="409"/>
      <c r="N128" s="409"/>
      <c r="O128" s="409"/>
      <c r="P128" s="409"/>
      <c r="Q128" s="409"/>
      <c r="R128" s="409"/>
      <c r="S128" s="409"/>
      <c r="T128" s="410"/>
      <c r="U128" s="408"/>
      <c r="V128" s="409"/>
      <c r="W128" s="409"/>
      <c r="X128" s="409"/>
      <c r="Y128" s="409"/>
      <c r="Z128" s="409"/>
      <c r="AA128" s="409"/>
      <c r="AB128" s="409"/>
      <c r="AC128" s="409"/>
      <c r="AD128" s="409"/>
      <c r="AE128" s="410"/>
    </row>
    <row r="129" spans="1:33" ht="12.75" customHeight="1" x14ac:dyDescent="0.2">
      <c r="A129" s="591" t="s">
        <v>346</v>
      </c>
      <c r="B129" s="592"/>
      <c r="C129" s="592"/>
      <c r="D129" s="592"/>
      <c r="E129" s="434"/>
      <c r="F129" s="390" t="s">
        <v>347</v>
      </c>
      <c r="K129" s="411"/>
      <c r="L129" s="591" t="s">
        <v>348</v>
      </c>
      <c r="M129" s="592"/>
      <c r="N129" s="592"/>
      <c r="O129" s="593" t="str">
        <f>Ввод!B39</f>
        <v xml:space="preserve">благоустроенный двор. </v>
      </c>
      <c r="P129" s="594"/>
      <c r="Q129" s="594"/>
      <c r="R129" s="594"/>
      <c r="S129" s="595"/>
      <c r="T129" s="411"/>
      <c r="U129" s="591" t="s">
        <v>349</v>
      </c>
      <c r="V129" s="592"/>
      <c r="W129" s="592"/>
      <c r="X129" s="592"/>
      <c r="Y129" s="435"/>
      <c r="Z129" s="390" t="s">
        <v>350</v>
      </c>
      <c r="AE129" s="411"/>
    </row>
    <row r="130" spans="1:33" ht="15" customHeight="1" x14ac:dyDescent="0.2">
      <c r="A130" s="591"/>
      <c r="B130" s="592"/>
      <c r="C130" s="592"/>
      <c r="D130" s="592"/>
      <c r="K130" s="411"/>
      <c r="L130" s="591"/>
      <c r="M130" s="592"/>
      <c r="N130" s="592"/>
      <c r="O130" s="596"/>
      <c r="P130" s="597"/>
      <c r="Q130" s="597"/>
      <c r="R130" s="597"/>
      <c r="S130" s="598"/>
      <c r="T130" s="411"/>
      <c r="U130" s="591"/>
      <c r="V130" s="592"/>
      <c r="W130" s="592"/>
      <c r="X130" s="592"/>
      <c r="AE130" s="411"/>
      <c r="AF130" s="419" t="s">
        <v>351</v>
      </c>
      <c r="AG130" s="420">
        <f>VALUE(Ввод!B17)</f>
        <v>900</v>
      </c>
    </row>
    <row r="131" spans="1:33" ht="14.25" customHeight="1" x14ac:dyDescent="0.2">
      <c r="A131" s="591"/>
      <c r="B131" s="592"/>
      <c r="C131" s="592"/>
      <c r="D131" s="592"/>
      <c r="E131" s="418"/>
      <c r="F131" s="390" t="s">
        <v>352</v>
      </c>
      <c r="K131" s="411"/>
      <c r="L131" s="591"/>
      <c r="M131" s="592"/>
      <c r="N131" s="592"/>
      <c r="O131" s="596"/>
      <c r="P131" s="597"/>
      <c r="Q131" s="597"/>
      <c r="R131" s="597"/>
      <c r="S131" s="598"/>
      <c r="T131" s="411"/>
      <c r="U131" s="591"/>
      <c r="V131" s="592"/>
      <c r="W131" s="592"/>
      <c r="X131" s="592"/>
      <c r="Y131" s="435"/>
      <c r="Z131" s="390" t="s">
        <v>353</v>
      </c>
      <c r="AE131" s="411"/>
    </row>
    <row r="132" spans="1:33" ht="14.25" customHeight="1" x14ac:dyDescent="0.2">
      <c r="A132" s="591"/>
      <c r="B132" s="592"/>
      <c r="C132" s="592"/>
      <c r="D132" s="592"/>
      <c r="K132" s="411"/>
      <c r="L132" s="591"/>
      <c r="M132" s="592"/>
      <c r="N132" s="592"/>
      <c r="O132" s="596"/>
      <c r="P132" s="597"/>
      <c r="Q132" s="597"/>
      <c r="R132" s="597"/>
      <c r="S132" s="598"/>
      <c r="T132" s="411"/>
      <c r="U132" s="591"/>
      <c r="V132" s="592"/>
      <c r="W132" s="592"/>
      <c r="X132" s="592"/>
      <c r="AE132" s="411"/>
    </row>
    <row r="133" spans="1:33" ht="14.25" customHeight="1" x14ac:dyDescent="0.2">
      <c r="A133" s="591"/>
      <c r="B133" s="592"/>
      <c r="C133" s="592"/>
      <c r="D133" s="592"/>
      <c r="E133" s="418"/>
      <c r="F133" s="390" t="s">
        <v>354</v>
      </c>
      <c r="K133" s="411"/>
      <c r="L133" s="591"/>
      <c r="M133" s="592"/>
      <c r="N133" s="592"/>
      <c r="O133" s="599"/>
      <c r="P133" s="600"/>
      <c r="Q133" s="600"/>
      <c r="R133" s="600"/>
      <c r="S133" s="601"/>
      <c r="T133" s="411"/>
      <c r="U133" s="591"/>
      <c r="V133" s="592"/>
      <c r="W133" s="592"/>
      <c r="X133" s="592"/>
      <c r="Y133" s="418"/>
      <c r="Z133" s="390" t="s">
        <v>355</v>
      </c>
      <c r="AE133" s="411"/>
    </row>
    <row r="134" spans="1:33" ht="5.25" customHeight="1" x14ac:dyDescent="0.2">
      <c r="A134" s="436"/>
      <c r="B134" s="437"/>
      <c r="C134" s="437"/>
      <c r="D134" s="437"/>
      <c r="E134" s="413"/>
      <c r="F134" s="413"/>
      <c r="G134" s="413"/>
      <c r="H134" s="413"/>
      <c r="I134" s="413"/>
      <c r="J134" s="413"/>
      <c r="K134" s="415"/>
      <c r="L134" s="438"/>
      <c r="M134" s="439"/>
      <c r="N134" s="439"/>
      <c r="O134" s="413"/>
      <c r="P134" s="413"/>
      <c r="Q134" s="413"/>
      <c r="R134" s="413"/>
      <c r="S134" s="413"/>
      <c r="T134" s="415"/>
      <c r="U134" s="438"/>
      <c r="V134" s="439"/>
      <c r="W134" s="439"/>
      <c r="X134" s="413"/>
      <c r="Y134" s="413"/>
      <c r="Z134" s="413"/>
      <c r="AA134" s="413"/>
      <c r="AB134" s="413"/>
      <c r="AC134" s="413"/>
      <c r="AD134" s="413"/>
      <c r="AE134" s="415"/>
    </row>
    <row r="135" spans="1:33" ht="6.75" customHeight="1" x14ac:dyDescent="0.2"/>
    <row r="136" spans="1:33" ht="9" hidden="1" customHeight="1" x14ac:dyDescent="0.2">
      <c r="B136" s="440"/>
      <c r="C136" s="440"/>
      <c r="D136" s="440"/>
      <c r="E136" s="440"/>
      <c r="F136" s="440"/>
      <c r="G136" s="440"/>
      <c r="H136" s="440"/>
      <c r="I136" s="440"/>
      <c r="J136" s="440"/>
      <c r="K136" s="440"/>
      <c r="L136" s="440"/>
      <c r="M136" s="440"/>
      <c r="N136" s="440"/>
      <c r="O136" s="441"/>
      <c r="P136" s="441"/>
      <c r="Q136" s="441"/>
      <c r="R136" s="441"/>
      <c r="S136" s="441"/>
      <c r="T136" s="441"/>
      <c r="U136" s="441"/>
      <c r="V136" s="441"/>
      <c r="W136" s="441"/>
      <c r="X136" s="441"/>
      <c r="Y136" s="441"/>
      <c r="Z136" s="441"/>
      <c r="AA136" s="441"/>
      <c r="AB136" s="441"/>
      <c r="AC136" s="441"/>
      <c r="AD136" s="441"/>
      <c r="AE136" s="441"/>
    </row>
    <row r="137" spans="1:33" ht="5.25" customHeight="1" x14ac:dyDescent="0.2"/>
    <row r="138" spans="1:33" ht="7.5" customHeight="1" x14ac:dyDescent="0.2">
      <c r="H138" s="416"/>
      <c r="K138" s="584"/>
      <c r="L138" s="584"/>
      <c r="M138" s="584"/>
      <c r="N138" s="584"/>
      <c r="O138" s="584"/>
      <c r="P138" s="584"/>
      <c r="Q138" s="584"/>
      <c r="R138" s="584"/>
      <c r="S138" s="584"/>
      <c r="T138" s="584"/>
      <c r="U138" s="584"/>
      <c r="V138" s="584"/>
      <c r="W138" s="584"/>
      <c r="X138" s="584"/>
      <c r="Y138" s="584"/>
      <c r="Z138" s="584"/>
      <c r="AA138" s="584"/>
      <c r="AB138" s="584"/>
      <c r="AC138" s="584"/>
      <c r="AD138" s="584"/>
      <c r="AE138" s="584"/>
    </row>
    <row r="139" spans="1:33" ht="8.25" customHeight="1" x14ac:dyDescent="0.2"/>
    <row r="140" spans="1:33" ht="25.5" customHeight="1" x14ac:dyDescent="0.2"/>
    <row r="141" spans="1:33" x14ac:dyDescent="0.2">
      <c r="A141" s="400" t="s">
        <v>356</v>
      </c>
      <c r="AF141" s="393"/>
    </row>
    <row r="142" spans="1:33" ht="6" customHeight="1" x14ac:dyDescent="0.2"/>
    <row r="143" spans="1:33" x14ac:dyDescent="0.2">
      <c r="C143" s="584" t="s">
        <v>357</v>
      </c>
      <c r="D143" s="584"/>
      <c r="E143" s="584"/>
      <c r="F143" s="584"/>
      <c r="G143" s="584"/>
      <c r="H143" s="584"/>
      <c r="I143" s="587"/>
      <c r="J143" s="588"/>
      <c r="K143" s="584" t="s">
        <v>358</v>
      </c>
      <c r="L143" s="584"/>
      <c r="M143" s="584"/>
      <c r="N143" s="549"/>
      <c r="O143" s="551"/>
      <c r="P143" s="584" t="s">
        <v>359</v>
      </c>
      <c r="Q143" s="584"/>
      <c r="R143" s="584"/>
      <c r="S143" s="584"/>
      <c r="T143" s="584"/>
      <c r="U143" s="584"/>
      <c r="V143" s="549"/>
      <c r="W143" s="551"/>
      <c r="X143" s="584" t="s">
        <v>360</v>
      </c>
      <c r="Y143" s="584"/>
      <c r="Z143" s="584"/>
      <c r="AA143" s="549"/>
      <c r="AB143" s="551"/>
    </row>
    <row r="144" spans="1:33" ht="2.25" customHeight="1" x14ac:dyDescent="0.2">
      <c r="I144" s="424"/>
      <c r="J144" s="424"/>
    </row>
    <row r="145" spans="1:31" ht="12.75" customHeight="1" x14ac:dyDescent="0.2">
      <c r="C145" s="584" t="s">
        <v>361</v>
      </c>
      <c r="D145" s="584"/>
      <c r="E145" s="584"/>
      <c r="F145" s="584"/>
      <c r="G145" s="584"/>
      <c r="H145" s="584"/>
      <c r="I145" s="587"/>
      <c r="J145" s="588"/>
      <c r="K145" s="584" t="s">
        <v>362</v>
      </c>
      <c r="L145" s="584"/>
      <c r="M145" s="584"/>
      <c r="N145" s="585"/>
      <c r="O145" s="586"/>
      <c r="P145" s="584" t="s">
        <v>363</v>
      </c>
      <c r="Q145" s="584"/>
      <c r="R145" s="584"/>
      <c r="S145" s="584"/>
      <c r="T145" s="584"/>
      <c r="U145" s="584"/>
      <c r="V145" s="585"/>
      <c r="W145" s="586"/>
      <c r="X145" s="584" t="s">
        <v>364</v>
      </c>
      <c r="Y145" s="584"/>
      <c r="Z145" s="584"/>
      <c r="AA145" s="582"/>
      <c r="AB145" s="583"/>
    </row>
    <row r="146" spans="1:31" ht="2.25" customHeight="1" x14ac:dyDescent="0.2">
      <c r="I146" s="424"/>
      <c r="J146" s="424"/>
      <c r="N146" s="424"/>
      <c r="O146" s="424"/>
      <c r="V146" s="424"/>
      <c r="W146" s="424"/>
    </row>
    <row r="147" spans="1:31" x14ac:dyDescent="0.2">
      <c r="C147" s="584" t="s">
        <v>365</v>
      </c>
      <c r="D147" s="584"/>
      <c r="E147" s="584"/>
      <c r="F147" s="584"/>
      <c r="G147" s="584"/>
      <c r="H147" s="584"/>
      <c r="I147" s="585"/>
      <c r="J147" s="586"/>
      <c r="K147" s="584" t="s">
        <v>366</v>
      </c>
      <c r="L147" s="584"/>
      <c r="M147" s="584"/>
      <c r="N147" s="585"/>
      <c r="O147" s="586"/>
      <c r="P147" s="584" t="s">
        <v>367</v>
      </c>
      <c r="Q147" s="584"/>
      <c r="R147" s="584"/>
      <c r="S147" s="584"/>
      <c r="T147" s="584"/>
      <c r="U147" s="584"/>
      <c r="V147" s="582"/>
      <c r="W147" s="583"/>
      <c r="X147" s="584" t="s">
        <v>368</v>
      </c>
      <c r="Y147" s="584"/>
      <c r="Z147" s="584"/>
      <c r="AA147" s="587"/>
      <c r="AB147" s="588"/>
    </row>
    <row r="148" spans="1:31" ht="2.25" customHeight="1" x14ac:dyDescent="0.2">
      <c r="I148" s="424"/>
      <c r="J148" s="424"/>
      <c r="N148" s="424"/>
      <c r="O148" s="424"/>
      <c r="AA148" s="424"/>
      <c r="AB148" s="424"/>
    </row>
    <row r="149" spans="1:31" x14ac:dyDescent="0.2">
      <c r="C149" s="584" t="s">
        <v>369</v>
      </c>
      <c r="D149" s="584"/>
      <c r="E149" s="584"/>
      <c r="F149" s="584"/>
      <c r="G149" s="584"/>
      <c r="H149" s="584"/>
      <c r="I149" s="549"/>
      <c r="J149" s="551"/>
      <c r="K149" s="574" t="s">
        <v>370</v>
      </c>
      <c r="L149" s="574"/>
      <c r="M149" s="574"/>
      <c r="N149" s="589"/>
      <c r="O149" s="590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  <c r="AA149" s="402"/>
      <c r="AB149" s="402"/>
    </row>
    <row r="150" spans="1:31" ht="9.75" customHeight="1" x14ac:dyDescent="0.2"/>
    <row r="151" spans="1:31" ht="22.5" customHeight="1" x14ac:dyDescent="0.2">
      <c r="A151" s="575" t="s">
        <v>371</v>
      </c>
      <c r="B151" s="575"/>
      <c r="C151" s="575"/>
      <c r="D151" s="575"/>
      <c r="E151" s="575"/>
      <c r="F151" s="575"/>
      <c r="G151" s="575"/>
      <c r="H151" s="575"/>
      <c r="I151" s="575"/>
      <c r="J151" s="575"/>
      <c r="K151" s="575"/>
      <c r="L151" s="575"/>
      <c r="M151" s="575"/>
      <c r="N151" s="575"/>
      <c r="O151" s="576" t="str">
        <f>Ввод!B40</f>
        <v>объекты влияющие на привлекательность двора расположения здания и самого здания не выявлено</v>
      </c>
      <c r="P151" s="577"/>
      <c r="Q151" s="577"/>
      <c r="R151" s="577"/>
      <c r="S151" s="577"/>
      <c r="T151" s="577"/>
      <c r="U151" s="577"/>
      <c r="V151" s="577"/>
      <c r="W151" s="577"/>
      <c r="X151" s="577"/>
      <c r="Y151" s="577"/>
      <c r="Z151" s="577"/>
      <c r="AA151" s="577"/>
      <c r="AB151" s="577"/>
      <c r="AC151" s="577"/>
      <c r="AD151" s="577"/>
      <c r="AE151" s="578"/>
    </row>
    <row r="152" spans="1:31" ht="26.25" customHeight="1" x14ac:dyDescent="0.2">
      <c r="A152" s="575"/>
      <c r="B152" s="575"/>
      <c r="C152" s="575"/>
      <c r="D152" s="575"/>
      <c r="E152" s="575"/>
      <c r="F152" s="575"/>
      <c r="G152" s="575"/>
      <c r="H152" s="575"/>
      <c r="I152" s="575"/>
      <c r="J152" s="575"/>
      <c r="K152" s="575"/>
      <c r="L152" s="575"/>
      <c r="M152" s="575"/>
      <c r="N152" s="575"/>
      <c r="O152" s="579"/>
      <c r="P152" s="580"/>
      <c r="Q152" s="580"/>
      <c r="R152" s="580"/>
      <c r="S152" s="580"/>
      <c r="T152" s="580"/>
      <c r="U152" s="580"/>
      <c r="V152" s="580"/>
      <c r="W152" s="580"/>
      <c r="X152" s="580"/>
      <c r="Y152" s="580"/>
      <c r="Z152" s="580"/>
      <c r="AA152" s="580"/>
      <c r="AB152" s="580"/>
      <c r="AC152" s="580"/>
      <c r="AD152" s="580"/>
      <c r="AE152" s="581"/>
    </row>
    <row r="153" spans="1:31" ht="4.5" customHeight="1" x14ac:dyDescent="0.2">
      <c r="A153" s="442"/>
      <c r="B153" s="442"/>
      <c r="C153" s="442"/>
      <c r="D153" s="442"/>
      <c r="E153" s="442"/>
      <c r="F153" s="442"/>
      <c r="G153" s="442"/>
      <c r="H153" s="442"/>
      <c r="I153" s="442"/>
      <c r="J153" s="442"/>
      <c r="K153" s="442"/>
      <c r="L153" s="442"/>
      <c r="M153" s="442"/>
      <c r="N153" s="442"/>
      <c r="O153" s="443"/>
      <c r="P153" s="443"/>
      <c r="Q153" s="443"/>
      <c r="R153" s="443"/>
      <c r="S153" s="443"/>
      <c r="T153" s="443"/>
      <c r="U153" s="443"/>
      <c r="V153" s="443"/>
      <c r="W153" s="444"/>
      <c r="X153" s="443"/>
      <c r="Y153" s="443"/>
      <c r="Z153" s="443"/>
      <c r="AA153" s="443"/>
      <c r="AB153" s="443"/>
      <c r="AC153" s="443"/>
      <c r="AD153" s="444"/>
      <c r="AE153" s="443"/>
    </row>
    <row r="154" spans="1:31" x14ac:dyDescent="0.2">
      <c r="A154" s="400" t="s">
        <v>372</v>
      </c>
      <c r="P154" s="431" t="s">
        <v>373</v>
      </c>
      <c r="W154" s="445"/>
      <c r="Y154" s="431" t="s">
        <v>374</v>
      </c>
      <c r="AA154" s="407"/>
      <c r="AB154" s="407"/>
      <c r="AC154" s="402"/>
      <c r="AD154" s="446"/>
    </row>
    <row r="155" spans="1:31" ht="7.5" customHeight="1" x14ac:dyDescent="0.2"/>
    <row r="156" spans="1:31" ht="6" hidden="1" customHeight="1" x14ac:dyDescent="0.2"/>
    <row r="157" spans="1:31" ht="15" x14ac:dyDescent="0.25">
      <c r="A157" s="400" t="s">
        <v>375</v>
      </c>
      <c r="F157" s="564" t="s">
        <v>376</v>
      </c>
      <c r="G157" s="565"/>
      <c r="H157" s="565"/>
      <c r="I157" s="566"/>
      <c r="J157" s="567" t="s">
        <v>377</v>
      </c>
      <c r="K157" s="568"/>
      <c r="L157" s="568"/>
      <c r="M157" s="569"/>
      <c r="N157" s="570" t="s">
        <v>378</v>
      </c>
      <c r="O157" s="570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 t="s">
        <v>379</v>
      </c>
      <c r="Z157" s="570"/>
      <c r="AA157" s="570"/>
      <c r="AB157" s="570"/>
      <c r="AC157" s="570"/>
      <c r="AD157" s="570"/>
    </row>
    <row r="158" spans="1:31" ht="7.5" customHeight="1" x14ac:dyDescent="0.2"/>
    <row r="159" spans="1:31" ht="15" x14ac:dyDescent="0.25">
      <c r="A159" s="400" t="s">
        <v>380</v>
      </c>
      <c r="L159" s="564" t="s">
        <v>381</v>
      </c>
      <c r="M159" s="565"/>
      <c r="N159" s="565"/>
      <c r="O159" s="565"/>
      <c r="P159" s="571" t="s">
        <v>382</v>
      </c>
      <c r="Q159" s="572"/>
      <c r="R159" s="572"/>
      <c r="S159" s="572"/>
      <c r="T159" s="573"/>
      <c r="U159" s="574" t="s">
        <v>383</v>
      </c>
      <c r="V159" s="574"/>
      <c r="W159" s="574"/>
      <c r="X159" s="574"/>
      <c r="Y159" s="570" t="s">
        <v>384</v>
      </c>
      <c r="Z159" s="570"/>
      <c r="AC159" s="430"/>
    </row>
    <row r="160" spans="1:31" ht="7.5" customHeight="1" x14ac:dyDescent="0.2"/>
    <row r="161" spans="1:31" ht="15" x14ac:dyDescent="0.25">
      <c r="A161" s="400" t="s">
        <v>385</v>
      </c>
      <c r="O161" s="557" t="str">
        <f>Ввод!B22</f>
        <v>Приморский</v>
      </c>
      <c r="P161" s="558"/>
      <c r="Q161" s="558"/>
      <c r="R161" s="558"/>
      <c r="S161" s="558"/>
      <c r="T161" s="558"/>
      <c r="U161" s="558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</row>
    <row r="162" spans="1:31" ht="10.5" customHeight="1" x14ac:dyDescent="0.2"/>
    <row r="163" spans="1:31" ht="15" x14ac:dyDescent="0.25">
      <c r="A163" s="400" t="s">
        <v>386</v>
      </c>
      <c r="O163" s="557" t="str">
        <f>Ввод!B16</f>
        <v>Черная речка</v>
      </c>
      <c r="P163" s="558"/>
      <c r="Q163" s="558"/>
      <c r="R163" s="558"/>
      <c r="S163" s="558"/>
      <c r="T163" s="558"/>
      <c r="U163" s="558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</row>
    <row r="164" spans="1:31" ht="8.25" customHeight="1" x14ac:dyDescent="0.2"/>
    <row r="165" spans="1:31" ht="15" x14ac:dyDescent="0.25">
      <c r="A165" s="400" t="s">
        <v>387</v>
      </c>
      <c r="Z165" s="557" t="str">
        <f>Ввод!B17</f>
        <v>900</v>
      </c>
      <c r="AA165" s="558"/>
      <c r="AB165" s="558"/>
      <c r="AC165" s="558"/>
      <c r="AD165" s="558"/>
      <c r="AE165" s="558"/>
    </row>
    <row r="166" spans="1:31" ht="8.25" customHeight="1" x14ac:dyDescent="0.2"/>
    <row r="167" spans="1:31" ht="15" x14ac:dyDescent="0.2">
      <c r="A167" s="400" t="s">
        <v>388</v>
      </c>
      <c r="O167" s="559" t="str">
        <f>Ввод!B18</f>
        <v>Новая деревня</v>
      </c>
      <c r="P167" s="560"/>
      <c r="Q167" s="560"/>
      <c r="R167" s="560"/>
      <c r="S167" s="560"/>
      <c r="T167" s="560"/>
      <c r="U167" s="560"/>
      <c r="V167" s="560"/>
      <c r="W167" s="560"/>
      <c r="X167" s="560"/>
      <c r="Y167" s="560"/>
      <c r="Z167" s="560"/>
      <c r="AA167" s="560"/>
      <c r="AB167" s="560"/>
      <c r="AC167" s="560"/>
      <c r="AD167" s="560"/>
      <c r="AE167" s="561"/>
    </row>
    <row r="168" spans="1:31" ht="8.25" customHeight="1" x14ac:dyDescent="0.2"/>
    <row r="169" spans="1:31" ht="15" x14ac:dyDescent="0.25">
      <c r="A169" s="400" t="s">
        <v>389</v>
      </c>
      <c r="Z169" s="557" t="str">
        <f>Ввод!B19</f>
        <v>700</v>
      </c>
      <c r="AA169" s="558"/>
      <c r="AB169" s="558"/>
      <c r="AC169" s="558"/>
      <c r="AD169" s="558"/>
      <c r="AE169" s="558"/>
    </row>
    <row r="170" spans="1:31" ht="7.5" customHeight="1" x14ac:dyDescent="0.2"/>
    <row r="171" spans="1:31" ht="15" x14ac:dyDescent="0.25">
      <c r="A171" s="400" t="s">
        <v>390</v>
      </c>
      <c r="K171" s="431" t="s">
        <v>391</v>
      </c>
      <c r="P171" s="447"/>
      <c r="Q171" s="447"/>
      <c r="R171" s="562">
        <v>5</v>
      </c>
      <c r="S171" s="563"/>
      <c r="T171" s="402" t="s">
        <v>392</v>
      </c>
      <c r="U171" s="447"/>
      <c r="V171" s="447"/>
      <c r="W171" s="447"/>
      <c r="X171" s="447"/>
      <c r="Y171" s="447"/>
      <c r="Z171" s="447"/>
      <c r="AA171" s="447"/>
      <c r="AB171" s="447"/>
      <c r="AC171" s="447"/>
      <c r="AD171" s="447"/>
      <c r="AE171" s="447"/>
    </row>
    <row r="172" spans="1:31" ht="3.75" customHeight="1" x14ac:dyDescent="0.2">
      <c r="O172" s="416"/>
    </row>
    <row r="173" spans="1:31" ht="3" customHeight="1" x14ac:dyDescent="0.2"/>
    <row r="174" spans="1:31" x14ac:dyDescent="0.2">
      <c r="A174" s="400" t="s">
        <v>393</v>
      </c>
      <c r="G174" s="549"/>
      <c r="H174" s="550"/>
      <c r="I174" s="550"/>
      <c r="J174" s="550"/>
      <c r="K174" s="550"/>
      <c r="L174" s="550"/>
      <c r="M174" s="550"/>
      <c r="N174" s="550"/>
      <c r="O174" s="550"/>
      <c r="P174" s="550"/>
      <c r="Q174" s="550"/>
      <c r="R174" s="550"/>
      <c r="S174" s="550"/>
      <c r="T174" s="550"/>
      <c r="U174" s="550"/>
      <c r="V174" s="550"/>
      <c r="W174" s="550"/>
      <c r="X174" s="550"/>
      <c r="Y174" s="550"/>
      <c r="Z174" s="550"/>
      <c r="AA174" s="550"/>
      <c r="AB174" s="550"/>
      <c r="AC174" s="550"/>
      <c r="AD174" s="550"/>
      <c r="AE174" s="551"/>
    </row>
    <row r="175" spans="1:31" ht="3" customHeight="1" x14ac:dyDescent="0.2">
      <c r="A175" s="400"/>
    </row>
    <row r="176" spans="1:31" ht="6" hidden="1" customHeight="1" x14ac:dyDescent="0.2">
      <c r="A176" s="552"/>
      <c r="B176" s="552"/>
      <c r="C176" s="552"/>
      <c r="D176" s="552"/>
      <c r="E176" s="552"/>
      <c r="F176" s="552"/>
      <c r="G176" s="552"/>
      <c r="H176" s="552"/>
      <c r="I176" s="552"/>
      <c r="J176" s="552"/>
      <c r="K176" s="552"/>
      <c r="L176" s="552"/>
      <c r="M176" s="552"/>
      <c r="N176" s="552"/>
      <c r="O176" s="552"/>
      <c r="P176" s="552"/>
      <c r="Q176" s="552"/>
      <c r="R176" s="552"/>
      <c r="S176" s="552"/>
      <c r="T176" s="552"/>
      <c r="U176" s="552"/>
      <c r="V176" s="552"/>
      <c r="W176" s="552"/>
      <c r="X176" s="552"/>
      <c r="Y176" s="552"/>
      <c r="Z176" s="552"/>
      <c r="AA176" s="552"/>
      <c r="AB176" s="552"/>
      <c r="AC176" s="552"/>
      <c r="AD176" s="552"/>
      <c r="AE176" s="552"/>
    </row>
    <row r="177" spans="1:31" ht="17.25" hidden="1" customHeight="1" x14ac:dyDescent="0.2">
      <c r="A177" s="447" t="s">
        <v>394</v>
      </c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  <c r="AA177" s="402"/>
      <c r="AB177" s="402"/>
      <c r="AC177" s="402"/>
      <c r="AD177" s="402"/>
      <c r="AE177" s="402"/>
    </row>
    <row r="178" spans="1:31" hidden="1" x14ac:dyDescent="0.2">
      <c r="A178" s="408"/>
      <c r="B178" s="409"/>
      <c r="C178" s="409"/>
      <c r="D178" s="409"/>
      <c r="E178" s="409"/>
      <c r="F178" s="409"/>
      <c r="G178" s="409"/>
      <c r="H178" s="409"/>
      <c r="I178" s="409"/>
      <c r="J178" s="409"/>
      <c r="K178" s="409"/>
      <c r="L178" s="409"/>
      <c r="M178" s="409"/>
      <c r="N178" s="409"/>
      <c r="O178" s="409"/>
      <c r="P178" s="409"/>
      <c r="Q178" s="409"/>
      <c r="R178" s="409"/>
      <c r="S178" s="409"/>
      <c r="T178" s="409"/>
      <c r="U178" s="409"/>
      <c r="V178" s="409"/>
      <c r="W178" s="409"/>
      <c r="X178" s="409"/>
      <c r="Y178" s="409"/>
      <c r="Z178" s="409"/>
      <c r="AA178" s="409"/>
      <c r="AB178" s="409"/>
      <c r="AC178" s="409"/>
      <c r="AD178" s="409"/>
      <c r="AE178" s="410"/>
    </row>
    <row r="179" spans="1:31" hidden="1" x14ac:dyDescent="0.2">
      <c r="A179" s="421"/>
      <c r="AE179" s="411"/>
    </row>
    <row r="180" spans="1:31" hidden="1" x14ac:dyDescent="0.2">
      <c r="A180" s="421"/>
      <c r="AE180" s="411"/>
    </row>
    <row r="181" spans="1:31" hidden="1" x14ac:dyDescent="0.2">
      <c r="A181" s="421"/>
      <c r="AE181" s="411"/>
    </row>
    <row r="182" spans="1:31" hidden="1" x14ac:dyDescent="0.2">
      <c r="A182" s="421"/>
      <c r="AE182" s="411"/>
    </row>
    <row r="183" spans="1:31" hidden="1" x14ac:dyDescent="0.2">
      <c r="A183" s="421"/>
      <c r="AE183" s="411"/>
    </row>
    <row r="184" spans="1:31" hidden="1" x14ac:dyDescent="0.2">
      <c r="A184" s="421"/>
      <c r="AE184" s="411"/>
    </row>
    <row r="185" spans="1:31" hidden="1" x14ac:dyDescent="0.2">
      <c r="A185" s="421"/>
      <c r="AE185" s="411"/>
    </row>
    <row r="186" spans="1:31" hidden="1" x14ac:dyDescent="0.2">
      <c r="A186" s="421"/>
      <c r="AE186" s="411"/>
    </row>
    <row r="187" spans="1:31" hidden="1" x14ac:dyDescent="0.2">
      <c r="A187" s="421"/>
      <c r="AE187" s="411"/>
    </row>
    <row r="188" spans="1:31" hidden="1" x14ac:dyDescent="0.2">
      <c r="A188" s="421"/>
      <c r="AE188" s="411"/>
    </row>
    <row r="189" spans="1:31" hidden="1" x14ac:dyDescent="0.2">
      <c r="A189" s="421"/>
      <c r="AE189" s="411"/>
    </row>
    <row r="190" spans="1:31" hidden="1" x14ac:dyDescent="0.2">
      <c r="A190" s="421"/>
      <c r="AE190" s="411"/>
    </row>
    <row r="191" spans="1:31" hidden="1" x14ac:dyDescent="0.2">
      <c r="A191" s="421"/>
      <c r="AE191" s="411"/>
    </row>
    <row r="192" spans="1:31" hidden="1" x14ac:dyDescent="0.2">
      <c r="A192" s="421"/>
      <c r="AE192" s="411"/>
    </row>
    <row r="193" spans="1:32" ht="21" hidden="1" customHeight="1" x14ac:dyDescent="0.2">
      <c r="A193" s="421"/>
      <c r="AE193" s="411"/>
    </row>
    <row r="194" spans="1:32" hidden="1" x14ac:dyDescent="0.2">
      <c r="A194" s="421"/>
      <c r="AE194" s="411"/>
    </row>
    <row r="195" spans="1:32" hidden="1" x14ac:dyDescent="0.2">
      <c r="A195" s="421"/>
      <c r="AE195" s="411"/>
    </row>
    <row r="196" spans="1:32" hidden="1" x14ac:dyDescent="0.2">
      <c r="A196" s="421"/>
      <c r="AE196" s="411"/>
    </row>
    <row r="197" spans="1:32" ht="87.75" hidden="1" customHeight="1" x14ac:dyDescent="0.2">
      <c r="A197" s="412"/>
      <c r="B197" s="413"/>
      <c r="C197" s="413"/>
      <c r="D197" s="413"/>
      <c r="E197" s="413"/>
      <c r="F197" s="413"/>
      <c r="G197" s="413"/>
      <c r="H197" s="413"/>
      <c r="I197" s="413"/>
      <c r="J197" s="413"/>
      <c r="K197" s="413"/>
      <c r="L197" s="413"/>
      <c r="M197" s="413"/>
      <c r="N197" s="413"/>
      <c r="O197" s="413"/>
      <c r="P197" s="413"/>
      <c r="Q197" s="413"/>
      <c r="R197" s="413"/>
      <c r="S197" s="413"/>
      <c r="T197" s="413"/>
      <c r="U197" s="413"/>
      <c r="V197" s="413"/>
      <c r="W197" s="413"/>
      <c r="X197" s="413"/>
      <c r="Y197" s="413"/>
      <c r="Z197" s="413"/>
      <c r="AA197" s="413"/>
      <c r="AB197" s="413"/>
      <c r="AC197" s="413"/>
      <c r="AD197" s="413"/>
      <c r="AE197" s="415"/>
    </row>
    <row r="198" spans="1:32" ht="11.25" hidden="1" customHeight="1" x14ac:dyDescent="0.2"/>
    <row r="199" spans="1:32" ht="5.25" customHeight="1" x14ac:dyDescent="0.2">
      <c r="A199" s="552"/>
      <c r="B199" s="552"/>
      <c r="C199" s="552"/>
      <c r="D199" s="552"/>
      <c r="E199" s="552"/>
      <c r="F199" s="552"/>
      <c r="G199" s="552"/>
      <c r="H199" s="552"/>
      <c r="I199" s="552"/>
      <c r="J199" s="552"/>
      <c r="K199" s="552"/>
      <c r="L199" s="552"/>
      <c r="M199" s="552"/>
      <c r="N199" s="552"/>
      <c r="O199" s="552"/>
      <c r="P199" s="552"/>
      <c r="Q199" s="552"/>
      <c r="R199" s="552"/>
      <c r="S199" s="552"/>
      <c r="T199" s="552"/>
      <c r="U199" s="552"/>
      <c r="V199" s="552"/>
      <c r="W199" s="552"/>
      <c r="X199" s="552"/>
      <c r="Y199" s="552"/>
      <c r="Z199" s="552"/>
      <c r="AA199" s="552"/>
      <c r="AB199" s="552"/>
      <c r="AC199" s="552"/>
      <c r="AD199" s="552"/>
      <c r="AE199" s="552"/>
    </row>
    <row r="200" spans="1:32" ht="9.75" customHeight="1" x14ac:dyDescent="0.2"/>
    <row r="201" spans="1:32" ht="31.5" customHeight="1" x14ac:dyDescent="0.2">
      <c r="A201" s="542" t="s">
        <v>395</v>
      </c>
      <c r="B201" s="542"/>
      <c r="C201" s="542"/>
      <c r="D201" s="542"/>
      <c r="E201" s="542"/>
      <c r="F201" s="542"/>
      <c r="G201" s="542"/>
      <c r="H201" s="542"/>
      <c r="I201" s="542"/>
      <c r="J201" s="553" t="str">
        <f>Ввод!B9</f>
        <v xml:space="preserve">Шичкина Ю.А. </v>
      </c>
      <c r="K201" s="554"/>
      <c r="L201" s="554"/>
      <c r="M201" s="554"/>
      <c r="N201" s="554"/>
      <c r="O201" s="554"/>
      <c r="P201" s="554"/>
      <c r="Q201" s="554"/>
      <c r="R201" s="554"/>
      <c r="S201" s="554"/>
      <c r="T201" s="554"/>
      <c r="U201" s="554"/>
      <c r="V201" s="554"/>
      <c r="W201" s="554"/>
      <c r="X201" s="554"/>
      <c r="Y201" s="554"/>
      <c r="Z201" s="554"/>
      <c r="AA201" s="554"/>
      <c r="AB201" s="554"/>
      <c r="AC201" s="554"/>
      <c r="AD201" s="554"/>
      <c r="AE201" s="555"/>
    </row>
    <row r="202" spans="1:32" ht="41.25" customHeight="1" x14ac:dyDescent="0.2">
      <c r="A202" s="542" t="s">
        <v>432</v>
      </c>
      <c r="B202" s="542"/>
      <c r="C202" s="542"/>
      <c r="D202" s="542"/>
      <c r="E202" s="542"/>
      <c r="F202" s="542"/>
      <c r="G202" s="542"/>
      <c r="H202" s="542"/>
      <c r="I202" s="542"/>
      <c r="J202" s="556" t="s">
        <v>396</v>
      </c>
      <c r="K202" s="554"/>
      <c r="L202" s="554"/>
      <c r="M202" s="554"/>
      <c r="N202" s="554"/>
      <c r="O202" s="554"/>
      <c r="P202" s="554"/>
      <c r="Q202" s="554"/>
      <c r="R202" s="554"/>
      <c r="S202" s="554"/>
      <c r="T202" s="554"/>
      <c r="U202" s="554"/>
      <c r="V202" s="554"/>
      <c r="W202" s="554"/>
      <c r="X202" s="554"/>
      <c r="Y202" s="554"/>
      <c r="Z202" s="554"/>
      <c r="AA202" s="554"/>
      <c r="AB202" s="554"/>
      <c r="AC202" s="554"/>
      <c r="AD202" s="554"/>
      <c r="AE202" s="555"/>
    </row>
    <row r="203" spans="1:32" ht="7.5" customHeight="1" x14ac:dyDescent="0.2">
      <c r="A203" s="542" t="s">
        <v>397</v>
      </c>
      <c r="B203" s="542"/>
      <c r="C203" s="542"/>
      <c r="D203" s="542"/>
      <c r="E203" s="542"/>
      <c r="F203" s="542"/>
      <c r="G203" s="542"/>
      <c r="H203" s="542"/>
      <c r="I203" s="542"/>
      <c r="J203" s="543"/>
      <c r="K203" s="544"/>
      <c r="L203" s="544"/>
      <c r="M203" s="544"/>
      <c r="N203" s="544"/>
      <c r="O203" s="544"/>
      <c r="P203" s="544"/>
      <c r="Q203" s="544"/>
      <c r="R203" s="544"/>
      <c r="S203" s="544"/>
      <c r="T203" s="544"/>
      <c r="U203" s="544"/>
      <c r="V203" s="544"/>
      <c r="W203" s="544"/>
      <c r="X203" s="544"/>
      <c r="Y203" s="544"/>
      <c r="Z203" s="544"/>
      <c r="AA203" s="544"/>
      <c r="AB203" s="544"/>
      <c r="AC203" s="544"/>
      <c r="AD203" s="544"/>
      <c r="AE203" s="545"/>
    </row>
    <row r="204" spans="1:32" ht="29.25" customHeight="1" x14ac:dyDescent="0.2">
      <c r="A204" s="542"/>
      <c r="B204" s="542"/>
      <c r="C204" s="542"/>
      <c r="D204" s="542"/>
      <c r="E204" s="542"/>
      <c r="F204" s="542"/>
      <c r="G204" s="542"/>
      <c r="H204" s="542"/>
      <c r="I204" s="542"/>
      <c r="J204" s="546"/>
      <c r="K204" s="547"/>
      <c r="L204" s="547"/>
      <c r="M204" s="547"/>
      <c r="N204" s="547"/>
      <c r="O204" s="547"/>
      <c r="P204" s="547"/>
      <c r="Q204" s="547"/>
      <c r="R204" s="547"/>
      <c r="S204" s="547"/>
      <c r="T204" s="547"/>
      <c r="U204" s="547"/>
      <c r="V204" s="547"/>
      <c r="W204" s="547"/>
      <c r="X204" s="547"/>
      <c r="Y204" s="547"/>
      <c r="Z204" s="547"/>
      <c r="AA204" s="547"/>
      <c r="AB204" s="547"/>
      <c r="AC204" s="547"/>
      <c r="AD204" s="547"/>
      <c r="AE204" s="548"/>
    </row>
    <row r="205" spans="1:32" x14ac:dyDescent="0.2">
      <c r="AF205" s="393"/>
    </row>
  </sheetData>
  <mergeCells count="193">
    <mergeCell ref="I1:AB1"/>
    <mergeCell ref="I2:Q2"/>
    <mergeCell ref="R2:AE2"/>
    <mergeCell ref="C3:L3"/>
    <mergeCell ref="M3:U3"/>
    <mergeCell ref="V3:AE3"/>
    <mergeCell ref="J16:L16"/>
    <mergeCell ref="T16:V16"/>
    <mergeCell ref="AD16:AE16"/>
    <mergeCell ref="J19:L19"/>
    <mergeCell ref="T19:V19"/>
    <mergeCell ref="AC19:AE19"/>
    <mergeCell ref="F5:AE5"/>
    <mergeCell ref="A7:AE7"/>
    <mergeCell ref="J10:L10"/>
    <mergeCell ref="T10:V10"/>
    <mergeCell ref="AD10:AE10"/>
    <mergeCell ref="J12:L12"/>
    <mergeCell ref="T12:V12"/>
    <mergeCell ref="AD12:AE12"/>
    <mergeCell ref="J48:AE48"/>
    <mergeCell ref="C57:F57"/>
    <mergeCell ref="G57:N57"/>
    <mergeCell ref="O57:R57"/>
    <mergeCell ref="S57:Y57"/>
    <mergeCell ref="Z57:AD57"/>
    <mergeCell ref="A22:H26"/>
    <mergeCell ref="I22:AC26"/>
    <mergeCell ref="M29:AD29"/>
    <mergeCell ref="H35:AE35"/>
    <mergeCell ref="A38:AE42"/>
    <mergeCell ref="A43:AE45"/>
    <mergeCell ref="C58:F60"/>
    <mergeCell ref="G58:N60"/>
    <mergeCell ref="O58:R60"/>
    <mergeCell ref="S58:Y60"/>
    <mergeCell ref="Z58:AD60"/>
    <mergeCell ref="C61:F61"/>
    <mergeCell ref="G61:N61"/>
    <mergeCell ref="O61:R61"/>
    <mergeCell ref="S61:Y61"/>
    <mergeCell ref="Z61:AD63"/>
    <mergeCell ref="C64:F64"/>
    <mergeCell ref="G64:N64"/>
    <mergeCell ref="O64:R64"/>
    <mergeCell ref="S64:Y64"/>
    <mergeCell ref="Z64:AD64"/>
    <mergeCell ref="A66:AE66"/>
    <mergeCell ref="C62:F62"/>
    <mergeCell ref="G62:N62"/>
    <mergeCell ref="O62:R62"/>
    <mergeCell ref="S62:Y62"/>
    <mergeCell ref="C63:F63"/>
    <mergeCell ref="G63:N63"/>
    <mergeCell ref="O63:R63"/>
    <mergeCell ref="S63:Y63"/>
    <mergeCell ref="F82:AE82"/>
    <mergeCell ref="L84:AE84"/>
    <mergeCell ref="Q86:AE86"/>
    <mergeCell ref="A88:L90"/>
    <mergeCell ref="M88:AE89"/>
    <mergeCell ref="A91:AE91"/>
    <mergeCell ref="A68:J73"/>
    <mergeCell ref="K68:AE73"/>
    <mergeCell ref="A75:AE75"/>
    <mergeCell ref="J78:P78"/>
    <mergeCell ref="Z78:AE78"/>
    <mergeCell ref="J80:P80"/>
    <mergeCell ref="Z80:AE80"/>
    <mergeCell ref="A94:B94"/>
    <mergeCell ref="C94:G94"/>
    <mergeCell ref="H94:S94"/>
    <mergeCell ref="T94:X94"/>
    <mergeCell ref="Y94:AE94"/>
    <mergeCell ref="A95:B95"/>
    <mergeCell ref="C95:G95"/>
    <mergeCell ref="H95:S95"/>
    <mergeCell ref="T95:X95"/>
    <mergeCell ref="Y95:AE95"/>
    <mergeCell ref="A96:B96"/>
    <mergeCell ref="C96:G96"/>
    <mergeCell ref="H96:S96"/>
    <mergeCell ref="T96:X96"/>
    <mergeCell ref="Y96:AE96"/>
    <mergeCell ref="A97:B97"/>
    <mergeCell ref="C97:G97"/>
    <mergeCell ref="H97:S97"/>
    <mergeCell ref="T97:X97"/>
    <mergeCell ref="Y97:AE97"/>
    <mergeCell ref="A98:B98"/>
    <mergeCell ref="C98:G98"/>
    <mergeCell ref="H98:S98"/>
    <mergeCell ref="T98:X98"/>
    <mergeCell ref="Y98:AE98"/>
    <mergeCell ref="A99:B99"/>
    <mergeCell ref="C99:G99"/>
    <mergeCell ref="H99:S99"/>
    <mergeCell ref="T99:X99"/>
    <mergeCell ref="Y99:AE99"/>
    <mergeCell ref="A100:B100"/>
    <mergeCell ref="C100:G100"/>
    <mergeCell ref="H100:S100"/>
    <mergeCell ref="T100:X100"/>
    <mergeCell ref="Y100:AE100"/>
    <mergeCell ref="A101:B101"/>
    <mergeCell ref="C101:G101"/>
    <mergeCell ref="H101:S101"/>
    <mergeCell ref="T101:X101"/>
    <mergeCell ref="Y101:AE101"/>
    <mergeCell ref="A102:B102"/>
    <mergeCell ref="C102:G102"/>
    <mergeCell ref="H102:S102"/>
    <mergeCell ref="T102:X102"/>
    <mergeCell ref="Y102:AE102"/>
    <mergeCell ref="A103:B103"/>
    <mergeCell ref="C103:G103"/>
    <mergeCell ref="H103:S103"/>
    <mergeCell ref="T103:X103"/>
    <mergeCell ref="Y103:AE103"/>
    <mergeCell ref="A108:AE108"/>
    <mergeCell ref="A110:AE113"/>
    <mergeCell ref="A116:AE116"/>
    <mergeCell ref="A118:AE120"/>
    <mergeCell ref="G123:AE123"/>
    <mergeCell ref="A125:AE125"/>
    <mergeCell ref="A104:B104"/>
    <mergeCell ref="C104:G104"/>
    <mergeCell ref="H104:S104"/>
    <mergeCell ref="T104:X104"/>
    <mergeCell ref="Y104:AE104"/>
    <mergeCell ref="A105:B105"/>
    <mergeCell ref="C105:G105"/>
    <mergeCell ref="H105:S105"/>
    <mergeCell ref="T105:X105"/>
    <mergeCell ref="Y105:AE105"/>
    <mergeCell ref="A129:D133"/>
    <mergeCell ref="L129:N133"/>
    <mergeCell ref="O129:S133"/>
    <mergeCell ref="U129:X133"/>
    <mergeCell ref="K138:AE138"/>
    <mergeCell ref="C143:H143"/>
    <mergeCell ref="I143:J143"/>
    <mergeCell ref="K143:M143"/>
    <mergeCell ref="N143:O143"/>
    <mergeCell ref="P143:U143"/>
    <mergeCell ref="V143:W143"/>
    <mergeCell ref="X143:Z143"/>
    <mergeCell ref="AA143:AB143"/>
    <mergeCell ref="A151:N152"/>
    <mergeCell ref="O151:AE152"/>
    <mergeCell ref="AA145:AB145"/>
    <mergeCell ref="C147:H147"/>
    <mergeCell ref="I147:J147"/>
    <mergeCell ref="K147:M147"/>
    <mergeCell ref="N147:O147"/>
    <mergeCell ref="P147:U147"/>
    <mergeCell ref="V147:W147"/>
    <mergeCell ref="X147:Z147"/>
    <mergeCell ref="AA147:AB147"/>
    <mergeCell ref="C145:H145"/>
    <mergeCell ref="I145:J145"/>
    <mergeCell ref="K145:M145"/>
    <mergeCell ref="N145:O145"/>
    <mergeCell ref="P145:U145"/>
    <mergeCell ref="V145:W145"/>
    <mergeCell ref="X145:Z145"/>
    <mergeCell ref="C149:H149"/>
    <mergeCell ref="I149:J149"/>
    <mergeCell ref="K149:M149"/>
    <mergeCell ref="N149:O149"/>
    <mergeCell ref="O161:AE161"/>
    <mergeCell ref="O163:AE163"/>
    <mergeCell ref="Z165:AE165"/>
    <mergeCell ref="O167:AE167"/>
    <mergeCell ref="Z169:AE169"/>
    <mergeCell ref="R171:S171"/>
    <mergeCell ref="F157:I157"/>
    <mergeCell ref="J157:M157"/>
    <mergeCell ref="N157:X157"/>
    <mergeCell ref="Y157:AD157"/>
    <mergeCell ref="L159:O159"/>
    <mergeCell ref="P159:T159"/>
    <mergeCell ref="U159:X159"/>
    <mergeCell ref="Y159:Z159"/>
    <mergeCell ref="A203:I204"/>
    <mergeCell ref="J203:AE204"/>
    <mergeCell ref="G174:AE174"/>
    <mergeCell ref="A176:AE176"/>
    <mergeCell ref="A199:AE199"/>
    <mergeCell ref="A201:I201"/>
    <mergeCell ref="J201:AE201"/>
    <mergeCell ref="A202:I202"/>
    <mergeCell ref="J202:AE202"/>
  </mergeCells>
  <conditionalFormatting sqref="P31">
    <cfRule type="expression" dxfId="14" priority="15">
      <formula>$AG$31&gt;9</formula>
    </cfRule>
  </conditionalFormatting>
  <conditionalFormatting sqref="V31">
    <cfRule type="expression" dxfId="13" priority="14">
      <formula>$AG$31&gt;6</formula>
    </cfRule>
  </conditionalFormatting>
  <conditionalFormatting sqref="P33">
    <cfRule type="expression" dxfId="12" priority="13">
      <formula>$AG$31&lt;6</formula>
    </cfRule>
  </conditionalFormatting>
  <conditionalFormatting sqref="V33">
    <cfRule type="expression" dxfId="11" priority="11">
      <formula>$AG$31=6</formula>
    </cfRule>
    <cfRule type="expression" dxfId="10" priority="12">
      <formula>$AG$31&gt;6</formula>
    </cfRule>
  </conditionalFormatting>
  <conditionalFormatting sqref="J52">
    <cfRule type="expression" dxfId="9" priority="10">
      <formula>$AG$31&gt;9</formula>
    </cfRule>
  </conditionalFormatting>
  <conditionalFormatting sqref="S54">
    <cfRule type="expression" dxfId="8" priority="9">
      <formula>$AG$31&gt;8</formula>
    </cfRule>
  </conditionalFormatting>
  <conditionalFormatting sqref="E131">
    <cfRule type="expression" dxfId="7" priority="8">
      <formula>$AG$130&lt;1500</formula>
    </cfRule>
  </conditionalFormatting>
  <conditionalFormatting sqref="I147:J147">
    <cfRule type="expression" dxfId="6" priority="7">
      <formula>$AG$130&lt;1000</formula>
    </cfRule>
  </conditionalFormatting>
  <conditionalFormatting sqref="I149:J149">
    <cfRule type="expression" dxfId="5" priority="6">
      <formula>$AG$130&lt;600</formula>
    </cfRule>
  </conditionalFormatting>
  <conditionalFormatting sqref="N145:O145">
    <cfRule type="expression" dxfId="4" priority="5">
      <formula>$AG$130&lt;2000</formula>
    </cfRule>
  </conditionalFormatting>
  <conditionalFormatting sqref="N147:O147">
    <cfRule type="expression" dxfId="3" priority="4">
      <formula>$AG$130&lt;1500</formula>
    </cfRule>
  </conditionalFormatting>
  <conditionalFormatting sqref="AA143:AB143">
    <cfRule type="expression" dxfId="2" priority="3">
      <formula>$AG$130&lt;5000</formula>
    </cfRule>
  </conditionalFormatting>
  <conditionalFormatting sqref="W154">
    <cfRule type="expression" dxfId="1" priority="2">
      <formula>$AG$130&gt;2000</formula>
    </cfRule>
  </conditionalFormatting>
  <conditionalFormatting sqref="AD154">
    <cfRule type="expression" dxfId="0" priority="1">
      <formula>$AG$130&gt;3000</formula>
    </cfRule>
  </conditionalFormatting>
  <pageMargins left="0.70866141732283472" right="0.70866141732283472" top="0.35433070866141736" bottom="0.35433070866141736" header="0.31496062992125984" footer="0.31496062992125984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0000"/>
  </sheetPr>
  <dimension ref="A1"/>
  <sheetViews>
    <sheetView workbookViewId="0">
      <selection activeCell="I21" sqref="I21"/>
    </sheetView>
  </sheetViews>
  <sheetFormatPr defaultRowHeight="12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</vt:i4>
      </vt:variant>
    </vt:vector>
  </HeadingPairs>
  <TitlesOfParts>
    <vt:vector size="14" baseType="lpstr">
      <vt:lpstr>Ввод</vt:lpstr>
      <vt:lpstr>Таблицы расч</vt:lpstr>
      <vt:lpstr>Регресс. анализ</vt:lpstr>
      <vt:lpstr>слияние</vt:lpstr>
      <vt:lpstr>рубли в пропись</vt:lpstr>
      <vt:lpstr>числа в пропись</vt:lpstr>
      <vt:lpstr>диаграмма лин</vt:lpstr>
      <vt:lpstr>таблица факторов</vt:lpstr>
      <vt:lpstr>СТАТИСТ</vt:lpstr>
      <vt:lpstr>Задание на оценку</vt:lpstr>
      <vt:lpstr>Акт осмотра</vt:lpstr>
      <vt:lpstr>рисунки</vt:lpstr>
      <vt:lpstr>'Регресс. анализ'!Область_печати</vt:lpstr>
      <vt:lpstr>'Таблицы расч'!Область_печати</vt:lpstr>
    </vt:vector>
  </TitlesOfParts>
  <Company>ГУИОН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И. Коликов</dc:creator>
  <cp:lastModifiedBy>79523676149</cp:lastModifiedBy>
  <cp:lastPrinted>2017-02-02T10:58:33Z</cp:lastPrinted>
  <dcterms:created xsi:type="dcterms:W3CDTF">2002-08-07T07:33:28Z</dcterms:created>
  <dcterms:modified xsi:type="dcterms:W3CDTF">2023-01-11T17:55:13Z</dcterms:modified>
</cp:coreProperties>
</file>